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6b999598e5a2ce04/Documents/DataTeach.ai/"/>
    </mc:Choice>
  </mc:AlternateContent>
  <xr:revisionPtr revIDLastSave="13" documentId="8_{56152D32-4702-464D-A85C-D832F06AD215}" xr6:coauthVersionLast="47" xr6:coauthVersionMax="47" xr10:uidLastSave="{4BE959E5-A46D-4EC9-B011-F6FBA364ED35}"/>
  <bookViews>
    <workbookView xWindow="-108" yWindow="-108" windowWidth="23256" windowHeight="12456"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F5" i="3" l="1"/>
  <c r="AF6" i="3" s="1"/>
  <c r="AF4" i="3"/>
  <c r="AF3" i="3"/>
  <c r="AF2" i="3"/>
  <c r="AF7" i="3" s="1"/>
  <c r="O56" i="2"/>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alcChain>
</file>

<file path=xl/sharedStrings.xml><?xml version="1.0" encoding="utf-8"?>
<sst xmlns="http://schemas.openxmlformats.org/spreadsheetml/2006/main" count="3406" uniqueCount="938">
  <si>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</si>
  <si>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</si>
  <si>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</si>
  <si>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</si>
  <si>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</si>
  <si>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</si>
  <si>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</si>
  <si>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</si>
  <si>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</si>
  <si>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</si>
  <si>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</si>
  <si>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</si>
  <si>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</si>
  <si>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</si>
  <si>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</si>
  <si>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</si>
  <si>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</si>
  <si>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</si>
  <si>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</si>
  <si>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</si>
  <si>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</si>
  <si>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</si>
  <si>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</si>
  <si>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</si>
  <si>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</si>
  <si>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</si>
  <si>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</si>
  <si>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</si>
  <si>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</si>
  <si>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</si>
  <si>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</si>
  <si>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</si>
  <si>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</si>
  <si>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</si>
  <si>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</si>
  <si>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</si>
  <si>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</si>
  <si>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</si>
  <si>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</si>
  <si>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</si>
  <si>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</si>
  <si>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</si>
  <si>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</si>
  <si>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</si>
  <si>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</si>
  <si>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</si>
  <si>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</si>
  <si>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</si>
  <si>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</si>
  <si>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</si>
  <si>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</si>
  <si>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</si>
  <si>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</si>
  <si>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</si>
  <si>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</si>
  <si>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</si>
  <si>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</si>
  <si>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</si>
  <si>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</si>
  <si>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</si>
  <si>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</si>
  <si>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</si>
  <si>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</si>
  <si>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</si>
  <si>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</si>
  <si>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</si>
  <si>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</si>
  <si>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</si>
  <si>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</si>
  <si>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</si>
  <si>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</si>
  <si>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</si>
  <si>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</si>
  <si>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</si>
  <si>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</si>
  <si>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</si>
  <si>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</si>
  <si>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</si>
  <si>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</si>
  <si>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</si>
  <si>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</si>
  <si>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</si>
  <si>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</si>
  <si>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</si>
  <si>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</si>
  <si>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</si>
  <si>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</si>
  <si>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</si>
  <si>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</si>
  <si>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</si>
  <si>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</si>
  <si>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</si>
  <si>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</si>
  <si>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</si>
  <si>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</si>
  <si>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</si>
  <si>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</si>
  <si>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</si>
  <si>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</si>
  <si>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</si>
  <si>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</si>
  <si>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</si>
  <si>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</si>
  <si>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</si>
  <si>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</si>
  <si>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</si>
  <si>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</si>
  <si>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</si>
  <si>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</si>
  <si>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</si>
  <si>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</si>
  <si>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</si>
  <si>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</si>
  <si>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</si>
  <si>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</si>
  <si>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</si>
  <si>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</si>
  <si>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</si>
  <si>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</si>
  <si>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</si>
  <si>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</si>
  <si>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</si>
  <si>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</si>
  <si>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</si>
  <si>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</si>
  <si>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</si>
  <si>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</si>
  <si>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</si>
  <si>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</si>
  <si>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</si>
  <si>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</si>
  <si>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</si>
  <si>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</si>
  <si>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</si>
  <si>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</si>
  <si>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</si>
  <si>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</si>
  <si>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</si>
  <si>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</si>
  <si>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</si>
  <si>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</si>
  <si>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</si>
  <si>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</si>
  <si>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</si>
  <si>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</si>
  <si>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</si>
  <si>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</si>
  <si>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</si>
  <si>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</si>
  <si>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</si>
  <si>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</si>
  <si>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</si>
  <si>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</si>
  <si>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</si>
  <si>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</si>
  <si>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</si>
  <si>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</si>
  <si>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</si>
  <si>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</si>
  <si>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</si>
  <si>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</si>
  <si>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</si>
  <si>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</si>
  <si>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</si>
  <si>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</si>
  <si>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</si>
  <si>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</si>
  <si>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</si>
  <si>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</si>
  <si>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</si>
  <si>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</si>
  <si>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</si>
  <si>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</si>
  <si>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</si>
  <si>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</si>
  <si>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</si>
  <si>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</si>
  <si>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</si>
  <si>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</si>
  <si>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</si>
  <si>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</si>
  <si>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</si>
  <si>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</si>
  <si>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</si>
  <si>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</si>
  <si>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</si>
  <si>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</si>
  <si>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</si>
  <si>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</si>
  <si>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</si>
  <si>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</si>
  <si>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</si>
  <si>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</si>
  <si>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</si>
  <si>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</si>
  <si>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</si>
  <si>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</si>
  <si>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</si>
  <si>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</si>
  <si>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</si>
  <si>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</si>
  <si>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</si>
  <si>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</si>
  <si>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</si>
  <si>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</si>
  <si>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</si>
  <si>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</si>
  <si>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</si>
  <si>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</si>
  <si>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</si>
  <si>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</si>
  <si>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</si>
  <si>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</si>
  <si>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</si>
  <si>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</si>
  <si>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</si>
  <si>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</si>
  <si>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</si>
  <si>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</si>
  <si>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</si>
  <si>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</si>
  <si>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</si>
  <si>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</si>
  <si>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</si>
  <si>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</si>
  <si>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</si>
  <si>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</si>
  <si>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</si>
  <si>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</si>
  <si>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</si>
  <si>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</si>
  <si>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</si>
  <si>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</si>
  <si>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</si>
  <si>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</si>
  <si>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</si>
  <si>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</si>
  <si>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</si>
  <si>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</si>
  <si>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</si>
  <si>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</si>
  <si>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</si>
  <si>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</si>
  <si>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</si>
  <si>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</si>
  <si>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</si>
  <si>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</si>
  <si>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</si>
  <si>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</si>
  <si>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</si>
  <si>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</si>
  <si>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</si>
  <si>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</si>
  <si>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</si>
  <si>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</si>
  <si>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</si>
  <si>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</si>
  <si>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</si>
  <si>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</si>
  <si>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</si>
  <si>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</si>
  <si>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</si>
  <si>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</si>
  <si>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</si>
  <si>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</si>
  <si>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</si>
  <si>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</si>
  <si>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</si>
  <si>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</si>
  <si>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</si>
  <si>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</si>
  <si>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</si>
  <si>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</si>
  <si>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</si>
  <si>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</si>
  <si>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</si>
  <si>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</si>
  <si>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</si>
  <si>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</si>
  <si>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</si>
  <si>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</si>
  <si>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</si>
  <si>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</si>
  <si>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</si>
  <si>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</si>
  <si>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</si>
  <si>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</si>
  <si>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</si>
  <si>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</si>
  <si>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</si>
  <si>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</si>
  <si>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</si>
  <si>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</si>
  <si>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</si>
  <si>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</si>
  <si>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</si>
  <si>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</si>
  <si>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</si>
  <si>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</si>
  <si>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</si>
  <si>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</si>
  <si>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</si>
  <si>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</si>
  <si>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</si>
  <si>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</si>
  <si>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</si>
  <si>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</si>
  <si>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</si>
  <si>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</si>
  <si>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</si>
  <si>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</si>
  <si>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</si>
  <si>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</si>
  <si>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</si>
  <si>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</si>
  <si>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</si>
  <si>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</si>
  <si>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</si>
  <si>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</si>
  <si>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</si>
  <si>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</si>
  <si>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</si>
  <si>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</si>
  <si>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</si>
  <si>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</si>
  <si>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</si>
  <si>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</si>
  <si>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</si>
  <si>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</si>
  <si>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</si>
  <si>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</si>
  <si>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</si>
  <si>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</si>
  <si>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</si>
  <si>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</si>
  <si>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</si>
  <si>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</si>
  <si>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</si>
  <si>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</si>
  <si>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</si>
  <si>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</si>
  <si>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</si>
  <si>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</si>
  <si>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</si>
  <si>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</si>
  <si>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</si>
  <si>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</si>
  <si>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</si>
  <si>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</si>
  <si>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</si>
  <si>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</si>
  <si>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</si>
  <si>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</si>
  <si>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</si>
  <si>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</si>
  <si>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</si>
  <si>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</si>
  <si>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</si>
  <si>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</si>
  <si>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</si>
  <si>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</si>
  <si>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</si>
  <si>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</si>
  <si>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</si>
  <si>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</si>
  <si>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</si>
  <si>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</si>
  <si>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</si>
  <si>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</si>
  <si>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</si>
  <si>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</si>
  <si>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</si>
  <si>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</si>
  <si>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</si>
  <si>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</si>
  <si>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</si>
  <si>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</si>
  <si>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</si>
  <si>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</si>
  <si>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</si>
  <si>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</si>
  <si>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</si>
  <si>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</si>
  <si>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</si>
  <si>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</si>
  <si>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</si>
  <si>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</si>
  <si>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</si>
  <si>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</si>
  <si>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</si>
  <si>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</si>
  <si>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</si>
  <si>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</si>
  <si>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</si>
  <si>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</si>
  <si>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</si>
  <si>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</si>
  <si>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</si>
  <si>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</si>
  <si>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</si>
  <si>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</si>
  <si>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</si>
  <si>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</si>
  <si>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</si>
  <si>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</si>
  <si>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</si>
  <si>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</si>
  <si>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</si>
  <si>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</si>
  <si>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</si>
  <si>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</si>
  <si>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</si>
  <si>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</si>
  <si>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</si>
  <si>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</si>
  <si>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</si>
  <si>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</si>
  <si>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</si>
  <si>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</si>
  <si>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</si>
  <si>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</si>
  <si>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</si>
  <si>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</si>
  <si>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</si>
  <si>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</si>
  <si>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</si>
  <si>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</si>
  <si>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</si>
  <si>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</si>
  <si>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</si>
  <si>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</si>
  <si>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</si>
  <si>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</si>
  <si>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</si>
  <si>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</si>
  <si>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</si>
  <si>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</si>
  <si>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</si>
  <si>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</si>
  <si>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</si>
  <si>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</si>
  <si>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</si>
  <si>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</si>
  <si>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</si>
  <si>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</si>
  <si>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</si>
  <si>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</si>
  <si>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</si>
  <si>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</si>
  <si>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</si>
  <si>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</si>
  <si>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</si>
  <si>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</si>
  <si>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</si>
  <si>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</si>
  <si>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</si>
  <si>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</si>
  <si>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</si>
  <si>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</si>
  <si>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</si>
  <si>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</si>
  <si>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</si>
  <si>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</si>
  <si>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</si>
  <si>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</si>
  <si>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</si>
  <si>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</si>
  <si>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</si>
  <si>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</si>
  <si>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</si>
  <si>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</si>
  <si>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</si>
  <si>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</si>
  <si>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</si>
  <si>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</si>
  <si>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</si>
  <si>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</si>
  <si>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</si>
  <si>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</si>
  <si>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</si>
  <si>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</si>
  <si>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</si>
  <si>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</si>
  <si>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</si>
  <si>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</si>
  <si>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</si>
  <si>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</si>
  <si>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</si>
  <si>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</si>
  <si>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</si>
  <si>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</si>
  <si>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</si>
  <si>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</si>
  <si>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</si>
  <si>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</si>
  <si>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</si>
  <si>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</si>
  <si>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</si>
  <si>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</si>
  <si>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</si>
  <si>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</si>
  <si>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</si>
  <si>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</si>
  <si>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</si>
  <si>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</si>
  <si>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</si>
  <si>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</si>
  <si>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</si>
  <si>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</si>
  <si>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</si>
  <si>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</si>
  <si>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</si>
  <si>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</si>
  <si>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</si>
  <si>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</si>
  <si>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</si>
  <si>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</si>
  <si>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</si>
  <si>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</si>
  <si>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</si>
  <si>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</si>
  <si>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</si>
  <si>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</si>
  <si>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</si>
  <si>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</si>
  <si>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</si>
  <si>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</si>
  <si>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</si>
  <si>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</si>
  <si>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</si>
  <si>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</si>
  <si>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</si>
  <si>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</si>
  <si>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</si>
  <si>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</si>
  <si>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</si>
  <si>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</si>
  <si>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</si>
  <si>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</si>
  <si>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</si>
  <si>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</si>
  <si>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</si>
  <si>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</si>
  <si>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</si>
  <si>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</si>
  <si>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</si>
  <si>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</si>
  <si>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</si>
  <si>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</si>
  <si>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</si>
  <si>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</si>
  <si>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</si>
  <si>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</si>
  <si>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</si>
  <si>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</si>
  <si>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</si>
  <si>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</si>
  <si>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</si>
  <si>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</si>
  <si>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</si>
  <si>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</si>
  <si>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</si>
  <si>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</si>
  <si>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</si>
  <si>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</si>
  <si>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</si>
  <si>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</si>
  <si>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</si>
  <si>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</si>
  <si>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</si>
  <si>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</si>
  <si>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</si>
  <si>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</si>
  <si>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</si>
  <si>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</si>
  <si>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</si>
  <si>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</si>
  <si>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</si>
  <si>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</si>
  <si>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</si>
  <si>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</si>
  <si>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</si>
  <si>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</si>
  <si>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</si>
  <si>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</si>
  <si>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</si>
  <si>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</si>
  <si>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</si>
  <si>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</si>
  <si>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</si>
  <si>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</si>
  <si>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</si>
  <si>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</si>
  <si>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</si>
  <si>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</si>
  <si>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</si>
  <si>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</si>
  <si>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</si>
  <si>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</si>
  <si>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</si>
  <si>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</si>
  <si>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</si>
  <si>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</si>
  <si>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</si>
  <si>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</si>
  <si>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</si>
  <si>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</si>
  <si>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</si>
  <si>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</si>
  <si>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</si>
  <si>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</si>
  <si>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</si>
  <si>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</si>
  <si>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</si>
  <si>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</si>
  <si>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</si>
  <si>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</si>
  <si>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</si>
  <si>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</si>
  <si>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</si>
  <si>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</si>
  <si>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</si>
  <si>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</si>
  <si>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</si>
  <si>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</si>
  <si>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</si>
  <si>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</si>
  <si>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</si>
  <si>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</si>
  <si>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</si>
  <si>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</si>
  <si>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</si>
  <si>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</si>
  <si>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</si>
  <si>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</si>
  <si>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</si>
  <si>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</si>
  <si>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</si>
  <si>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</si>
  <si>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</si>
  <si>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</si>
  <si>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</si>
  <si>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</si>
  <si>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</si>
  <si>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</si>
  <si>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</si>
  <si>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</si>
  <si>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</si>
  <si>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</si>
  <si>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</si>
  <si>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</si>
  <si>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</si>
  <si>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</si>
  <si>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</si>
  <si>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</si>
  <si>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</si>
  <si>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</si>
  <si>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</si>
  <si>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</si>
  <si>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</si>
  <si>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</si>
  <si>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</si>
  <si>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</si>
  <si>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</si>
  <si>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</si>
  <si>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</si>
  <si>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</si>
  <si>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</si>
  <si>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</si>
  <si>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</si>
  <si>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</si>
  <si>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</si>
  <si>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</si>
  <si>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</si>
  <si>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</si>
  <si>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</si>
  <si>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</si>
  <si>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</si>
  <si>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</si>
  <si>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</si>
  <si>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</si>
  <si>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</si>
  <si>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</si>
  <si>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</si>
  <si>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</si>
  <si>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</si>
  <si>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</si>
  <si>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</si>
  <si>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</si>
  <si>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</si>
  <si>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</si>
  <si>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</si>
  <si>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</si>
  <si>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</si>
  <si>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</si>
  <si>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</si>
  <si>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</si>
  <si>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</si>
  <si>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</si>
  <si>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</si>
  <si>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</si>
  <si>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</si>
  <si>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</si>
  <si>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</si>
  <si>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</si>
  <si>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</si>
  <si>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</si>
  <si>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</si>
  <si>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</si>
  <si>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</si>
  <si>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</si>
  <si>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</si>
  <si>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</si>
  <si>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</si>
  <si>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</si>
  <si>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</si>
  <si>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</si>
  <si>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</si>
  <si>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</si>
  <si>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</si>
  <si>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</si>
  <si>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</si>
  <si>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</si>
  <si>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</si>
  <si>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</si>
  <si>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</si>
  <si>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</si>
  <si>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</si>
  <si>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</si>
  <si>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</si>
  <si>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</si>
  <si>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</si>
  <si>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</si>
  <si>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</si>
  <si>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</si>
  <si>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</si>
  <si>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</si>
  <si>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</si>
  <si>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</si>
  <si>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</si>
  <si>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</si>
  <si>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</si>
  <si>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</si>
  <si>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</si>
  <si>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</si>
  <si>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</si>
  <si>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</si>
  <si>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</si>
  <si>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</si>
  <si>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</si>
  <si>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</si>
  <si>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</si>
  <si>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</si>
  <si>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</si>
  <si>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</si>
  <si>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</si>
  <si>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</si>
  <si>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</si>
  <si>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</si>
  <si>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</si>
  <si>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</si>
  <si>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</si>
  <si>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</si>
  <si>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</si>
  <si>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</si>
  <si>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</si>
  <si>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</si>
  <si>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</si>
  <si>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</si>
  <si>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</si>
  <si>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</si>
  <si>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</si>
  <si>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</si>
  <si>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</si>
  <si>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</si>
  <si>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</si>
  <si>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</si>
  <si>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</si>
  <si>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</si>
  <si>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</si>
  <si>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</si>
  <si>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</si>
  <si>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</si>
  <si>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</si>
  <si>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</si>
  <si>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</si>
  <si>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</si>
  <si>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</si>
  <si>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</si>
  <si>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</si>
  <si>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</si>
  <si>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</si>
  <si>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</si>
  <si>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</si>
  <si>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</si>
  <si>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</si>
  <si>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</si>
  <si>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</si>
  <si>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</si>
  <si>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</si>
  <si>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</si>
  <si>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</si>
  <si>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</si>
  <si>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</si>
  <si>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</si>
  <si>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</si>
  <si>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</si>
  <si>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</si>
  <si>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</si>
  <si>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</si>
  <si>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</si>
  <si>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</si>
  <si>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</si>
  <si>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</si>
  <si>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</si>
  <si>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</si>
  <si>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</si>
  <si>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</si>
  <si>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</si>
  <si>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</si>
  <si>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</si>
  <si>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</si>
  <si>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</si>
  <si>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</si>
  <si>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</si>
  <si>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</si>
  <si>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</si>
  <si>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</si>
  <si>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</si>
  <si>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</si>
  <si>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</si>
  <si>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</si>
  <si>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</si>
  <si>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</si>
  <si>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</si>
  <si>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</si>
  <si>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</si>
  <si>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</si>
  <si>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</si>
  <si>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</si>
  <si>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</si>
  <si>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</si>
  <si>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</si>
  <si>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</si>
  <si>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</si>
  <si>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</si>
  <si>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</si>
  <si>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</si>
  <si>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</si>
  <si>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</si>
  <si>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</si>
  <si>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</si>
  <si>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</si>
  <si>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</si>
  <si>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</si>
  <si>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</si>
  <si>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</si>
  <si>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</si>
  <si>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</si>
  <si>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</si>
  <si>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</si>
  <si>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</si>
  <si>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</si>
  <si>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</si>
  <si>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</si>
  <si>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</si>
  <si>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</si>
  <si>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</si>
  <si>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</si>
  <si>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</si>
  <si>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</si>
  <si>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</si>
  <si>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</si>
  <si>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</si>
  <si>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</si>
  <si>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</si>
  <si>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</si>
  <si>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</si>
  <si>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</si>
  <si>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</si>
  <si>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</si>
  <si>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</si>
  <si>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</si>
  <si>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</si>
  <si>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</si>
  <si>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</si>
  <si>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</si>
  <si>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</si>
  <si>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</si>
  <si>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</si>
  <si>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</si>
  <si>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</si>
  <si>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</si>
  <si>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</si>
  <si>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</si>
  <si>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</si>
  <si>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</si>
  <si>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</si>
  <si>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</si>
  <si>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</si>
  <si>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</si>
  <si>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</si>
  <si>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</si>
  <si>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</si>
  <si>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</si>
  <si>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</si>
  <si>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</si>
  <si>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</si>
  <si>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</si>
  <si>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</si>
  <si>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</si>
  <si>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</si>
  <si>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</si>
  <si>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</si>
  <si>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</si>
  <si>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</si>
  <si>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</si>
  <si>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</si>
  <si>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</si>
  <si>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</si>
  <si>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</si>
  <si>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Jan</t>
  </si>
  <si>
    <t>Count of Expense ID</t>
  </si>
  <si>
    <t>Sum of Budget Allocated</t>
  </si>
  <si>
    <t>Sum of Budget Remaining</t>
  </si>
  <si>
    <t>Actual Spent</t>
  </si>
  <si>
    <t>Amount</t>
  </si>
  <si>
    <t>Feb</t>
  </si>
  <si>
    <t>Mar</t>
  </si>
  <si>
    <t>Apr</t>
  </si>
  <si>
    <t>Oct</t>
  </si>
  <si>
    <t>May</t>
  </si>
  <si>
    <t>Jun</t>
  </si>
  <si>
    <t>Jul</t>
  </si>
  <si>
    <t>Aug</t>
  </si>
  <si>
    <t>Sep</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</si>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</sst>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4" x14ac:knownFonts="1">
    <font>
      <sz val="11"/>
      <color theme="1"/>
      <name val="Aptos Narrow"/>
      <family val="2"/>
      <scheme val="minor"/>
    </font>
    <font>
      <b/>
      <sz val="11"/>
      <color rgb="FFFFFFFF"/>
      <name val="Aptos Narrow"/>
      <family val="2"/>
      <scheme val="minor"/>
    </font>
    <font>
      <sz val="10"/>
      <color theme="1"/>
      <name val="Aptos"/>
      <family val="2"/>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5">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3" fontId="0" fillId="0" borderId="0" xfId="0" applyNumberForma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3" fillId="0" borderId="0" xfId="0" pivotButton="1" applyFont="1"/>
    <xf numFmtId="0" fontId="3" fillId="0" borderId="0" xfId="0" applyFont="1"/>
    <xf numFmtId="165" fontId="3" fillId="0" borderId="0" xfId="0" applyNumberFormat="1" applyFont="1"/>
    <xf numFmtId="3" fontId="3" fillId="0" borderId="0" xfId="0" applyNumberFormat="1" applyFont="1"/>
  </cellXfs>
  <cellStyles count="1">
    <cellStyle name="Normal" xfId="0" builtinId="0"/>
  </cellStyles>
  <dxfs count="74">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Finance</c:v>
                </c:pt>
                <c:pt idx="1">
                  <c:v>HR</c:v>
                </c:pt>
                <c:pt idx="2">
                  <c:v>Engineering</c:v>
                </c:pt>
                <c:pt idx="3">
                  <c:v>Marketing</c:v>
                </c:pt>
                <c:pt idx="4">
                  <c:v>Operations</c:v>
                </c:pt>
                <c:pt idx="5">
                  <c:v>Sales</c:v>
                </c:pt>
              </c:strCache>
            </c:strRef>
          </c:cat>
          <c:val>
            <c:numRef>
              <c:f>Pivot!$B$51:$B$56</c:f>
              <c:numCache>
                <c:formatCode>#,##0,"K"</c:formatCode>
                <c:ptCount val="6"/>
                <c:pt idx="0">
                  <c:v>2611075</c:v>
                </c:pt>
                <c:pt idx="1">
                  <c:v>3616924</c:v>
                </c:pt>
                <c:pt idx="2">
                  <c:v>3366315</c:v>
                </c:pt>
                <c:pt idx="3">
                  <c:v>3010276</c:v>
                </c:pt>
                <c:pt idx="4">
                  <c:v>3346621</c:v>
                </c:pt>
                <c:pt idx="5">
                  <c:v>2453972</c:v>
                </c:pt>
              </c:numCache>
            </c:numRef>
          </c:val>
          <c:extLst>
            <c:ext xmlns:c16="http://schemas.microsoft.com/office/drawing/2014/chart" uri="{C3380CC4-5D6E-409C-BE32-E72D297353CC}">
              <c16:uniqueId val="{00000000-1575-4332-AE68-F801594E2D2A}"/>
            </c:ext>
          </c:extLst>
        </c:ser>
        <c:dLbls>
          <c:showLegendKey val="0"/>
          <c:showVal val="0"/>
          <c:showCatName val="0"/>
          <c:showSerName val="0"/>
          <c:showPercent val="0"/>
          <c:showBubbleSize val="0"/>
        </c:dLbls>
        <c:gapWidth val="150"/>
        <c:axId val="1715709232"/>
        <c:axId val="1715715952"/>
      </c:barChart>
      <c:catAx>
        <c:axId val="1715709232"/>
        <c:scaling>
          <c:orientation val="minMax"/>
        </c:scaling>
        <c:delete val="0"/>
        <c:axPos val="b"/>
        <c:numFmt formatCode="General" sourceLinked="1"/>
        <c:majorTickMark val="out"/>
        <c:minorTickMark val="none"/>
        <c:tickLblPos val="nextTo"/>
        <c:spPr>
          <a:ln>
            <a:solidFill>
              <a:srgbClr val="D2D2D2"/>
            </a:solidFill>
          </a:ln>
        </c:spPr>
        <c:crossAx val="1715715952"/>
        <c:crosses val="autoZero"/>
        <c:auto val="1"/>
        <c:lblAlgn val="ctr"/>
        <c:lblOffset val="100"/>
        <c:noMultiLvlLbl val="0"/>
      </c:catAx>
      <c:valAx>
        <c:axId val="171571595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570923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807114343426194E-2"/>
          <c:y val="0.14098765432098764"/>
          <c:w val="0.28013726931898869"/>
          <c:h val="0.75592592592592589"/>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623B-410F-A8E7-A627DA9C8E73}"/>
              </c:ext>
            </c:extLst>
          </c:dPt>
          <c:dPt>
            <c:idx val="1"/>
            <c:bubble3D val="0"/>
            <c:spPr>
              <a:solidFill>
                <a:srgbClr val="84C637"/>
              </a:solidFill>
              <a:ln>
                <a:solidFill>
                  <a:srgbClr val="FFFFFF"/>
                </a:solidFill>
              </a:ln>
            </c:spPr>
            <c:extLst>
              <c:ext xmlns:c16="http://schemas.microsoft.com/office/drawing/2014/chart" uri="{C3380CC4-5D6E-409C-BE32-E72D297353CC}">
                <c16:uniqueId val="{00000002-623B-410F-A8E7-A627DA9C8E73}"/>
              </c:ext>
            </c:extLst>
          </c:dPt>
          <c:dPt>
            <c:idx val="2"/>
            <c:bubble3D val="0"/>
            <c:spPr>
              <a:solidFill>
                <a:srgbClr val="5DB13A"/>
              </a:solidFill>
              <a:ln>
                <a:solidFill>
                  <a:srgbClr val="FFFFFF"/>
                </a:solidFill>
              </a:ln>
            </c:spPr>
            <c:extLst>
              <c:ext xmlns:c16="http://schemas.microsoft.com/office/drawing/2014/chart" uri="{C3380CC4-5D6E-409C-BE32-E72D297353CC}">
                <c16:uniqueId val="{00000003-623B-410F-A8E7-A627DA9C8E73}"/>
              </c:ext>
            </c:extLst>
          </c:dPt>
          <c:dPt>
            <c:idx val="3"/>
            <c:bubble3D val="0"/>
            <c:spPr>
              <a:solidFill>
                <a:srgbClr val="168A96"/>
              </a:solidFill>
              <a:ln>
                <a:solidFill>
                  <a:srgbClr val="FFFFFF"/>
                </a:solidFill>
              </a:ln>
            </c:spPr>
            <c:extLst>
              <c:ext xmlns:c16="http://schemas.microsoft.com/office/drawing/2014/chart" uri="{C3380CC4-5D6E-409C-BE32-E72D297353CC}">
                <c16:uniqueId val="{00000004-623B-410F-A8E7-A627DA9C8E73}"/>
              </c:ext>
            </c:extLst>
          </c:dPt>
          <c:dPt>
            <c:idx val="4"/>
            <c:bubble3D val="0"/>
            <c:spPr>
              <a:solidFill>
                <a:srgbClr val="7030A0"/>
              </a:solidFill>
              <a:ln>
                <a:solidFill>
                  <a:srgbClr val="FFFFFF"/>
                </a:solidFill>
              </a:ln>
            </c:spPr>
            <c:extLst>
              <c:ext xmlns:c16="http://schemas.microsoft.com/office/drawing/2014/chart" uri="{C3380CC4-5D6E-409C-BE32-E72D297353CC}">
                <c16:uniqueId val="{00000005-623B-410F-A8E7-A627DA9C8E73}"/>
              </c:ext>
            </c:extLst>
          </c:dPt>
          <c:dPt>
            <c:idx val="5"/>
            <c:bubble3D val="0"/>
            <c:spPr>
              <a:solidFill>
                <a:srgbClr val="618724"/>
              </a:solidFill>
              <a:ln>
                <a:solidFill>
                  <a:srgbClr val="FFFFFF"/>
                </a:solidFill>
              </a:ln>
            </c:spPr>
            <c:extLst>
              <c:ext xmlns:c16="http://schemas.microsoft.com/office/drawing/2014/chart" uri="{C3380CC4-5D6E-409C-BE32-E72D297353CC}">
                <c16:uniqueId val="{00000006-623B-410F-A8E7-A627DA9C8E73}"/>
              </c:ext>
            </c:extLst>
          </c:dPt>
          <c:dPt>
            <c:idx val="6"/>
            <c:bubble3D val="0"/>
            <c:spPr>
              <a:solidFill>
                <a:srgbClr val="91A0AA"/>
              </a:solidFill>
              <a:ln>
                <a:solidFill>
                  <a:srgbClr val="FFFFFF"/>
                </a:solidFill>
              </a:ln>
            </c:spPr>
            <c:extLst>
              <c:ext xmlns:c16="http://schemas.microsoft.com/office/drawing/2014/chart" uri="{C3380CC4-5D6E-409C-BE32-E72D297353CC}">
                <c16:uniqueId val="{00000007-623B-410F-A8E7-A627DA9C8E73}"/>
              </c:ext>
            </c:extLst>
          </c:dPt>
          <c:dPt>
            <c:idx val="7"/>
            <c:bubble3D val="0"/>
            <c:spPr>
              <a:solidFill>
                <a:srgbClr val="ED7D31"/>
              </a:solidFill>
              <a:ln>
                <a:solidFill>
                  <a:srgbClr val="FFFFFF"/>
                </a:solidFill>
              </a:ln>
            </c:spPr>
            <c:extLst>
              <c:ext xmlns:c16="http://schemas.microsoft.com/office/drawing/2014/chart" uri="{C3380CC4-5D6E-409C-BE32-E72D297353CC}">
                <c16:uniqueId val="{00000008-623B-410F-A8E7-A627DA9C8E73}"/>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Equipment</c:v>
                </c:pt>
                <c:pt idx="2">
                  <c:v>Marketing</c:v>
                </c:pt>
                <c:pt idx="3">
                  <c:v>Office Supplies</c:v>
                </c:pt>
                <c:pt idx="4">
                  <c:v>Software</c:v>
                </c:pt>
                <c:pt idx="5">
                  <c:v>Training</c:v>
                </c:pt>
                <c:pt idx="6">
                  <c:v>Travel</c:v>
                </c:pt>
                <c:pt idx="7">
                  <c:v>Utilities</c:v>
                </c:pt>
              </c:strCache>
            </c:strRef>
          </c:cat>
          <c:val>
            <c:numRef>
              <c:f>Pivot!$E$51:$E$58</c:f>
              <c:numCache>
                <c:formatCode>#,##0,"K"</c:formatCode>
                <c:ptCount val="8"/>
                <c:pt idx="0">
                  <c:v>6030171</c:v>
                </c:pt>
                <c:pt idx="1">
                  <c:v>3671418</c:v>
                </c:pt>
                <c:pt idx="2">
                  <c:v>3505155</c:v>
                </c:pt>
                <c:pt idx="3">
                  <c:v>208093</c:v>
                </c:pt>
                <c:pt idx="4">
                  <c:v>1743238</c:v>
                </c:pt>
                <c:pt idx="5">
                  <c:v>772840</c:v>
                </c:pt>
                <c:pt idx="6">
                  <c:v>2023948</c:v>
                </c:pt>
                <c:pt idx="7">
                  <c:v>450320</c:v>
                </c:pt>
              </c:numCache>
            </c:numRef>
          </c:val>
          <c:extLst>
            <c:ext xmlns:c16="http://schemas.microsoft.com/office/drawing/2014/chart" uri="{C3380CC4-5D6E-409C-BE32-E72D297353CC}">
              <c16:uniqueId val="{00000000-623B-410F-A8E7-A627DA9C8E73}"/>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3441113861412881"/>
          <c:y val="0.15067901234567901"/>
          <c:w val="0.46558882536096058"/>
          <c:h val="0.72222222222222221"/>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Pivot!$H$51:$H$62</c:f>
              <c:numCache>
                <c:formatCode>#,##0,"K"</c:formatCode>
                <c:ptCount val="12"/>
                <c:pt idx="0">
                  <c:v>1379978</c:v>
                </c:pt>
                <c:pt idx="1">
                  <c:v>1058599</c:v>
                </c:pt>
                <c:pt idx="2">
                  <c:v>1179601</c:v>
                </c:pt>
                <c:pt idx="3">
                  <c:v>1317668</c:v>
                </c:pt>
                <c:pt idx="4">
                  <c:v>1780658</c:v>
                </c:pt>
                <c:pt idx="5">
                  <c:v>1286080</c:v>
                </c:pt>
                <c:pt idx="6">
                  <c:v>2119404</c:v>
                </c:pt>
                <c:pt idx="7">
                  <c:v>1669539</c:v>
                </c:pt>
                <c:pt idx="8">
                  <c:v>1913484</c:v>
                </c:pt>
                <c:pt idx="9">
                  <c:v>1365637</c:v>
                </c:pt>
                <c:pt idx="10">
                  <c:v>1795988</c:v>
                </c:pt>
                <c:pt idx="11">
                  <c:v>1538547</c:v>
                </c:pt>
              </c:numCache>
            </c:numRef>
          </c:val>
          <c:smooth val="0"/>
          <c:extLst>
            <c:ext xmlns:c16="http://schemas.microsoft.com/office/drawing/2014/chart" uri="{C3380CC4-5D6E-409C-BE32-E72D297353CC}">
              <c16:uniqueId val="{00000000-A90C-4AFD-99F1-64DDFCF726BD}"/>
            </c:ext>
          </c:extLst>
        </c:ser>
        <c:dLbls>
          <c:showLegendKey val="0"/>
          <c:showVal val="0"/>
          <c:showCatName val="0"/>
          <c:showSerName val="0"/>
          <c:showPercent val="0"/>
          <c:showBubbleSize val="0"/>
        </c:dLbls>
        <c:marker val="1"/>
        <c:smooth val="0"/>
        <c:axId val="1715701072"/>
        <c:axId val="1715717872"/>
      </c:lineChart>
      <c:catAx>
        <c:axId val="1715701072"/>
        <c:scaling>
          <c:orientation val="minMax"/>
        </c:scaling>
        <c:delete val="0"/>
        <c:axPos val="b"/>
        <c:numFmt formatCode="General" sourceLinked="1"/>
        <c:majorTickMark val="out"/>
        <c:minorTickMark val="none"/>
        <c:tickLblPos val="nextTo"/>
        <c:spPr>
          <a:ln>
            <a:solidFill>
              <a:srgbClr val="D2D2D2"/>
            </a:solidFill>
          </a:ln>
        </c:spPr>
        <c:crossAx val="1715717872"/>
        <c:crosses val="autoZero"/>
        <c:auto val="1"/>
        <c:lblAlgn val="ctr"/>
        <c:lblOffset val="100"/>
        <c:noMultiLvlLbl val="0"/>
      </c:catAx>
      <c:valAx>
        <c:axId val="171571787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570107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Finance</c:v>
                </c:pt>
                <c:pt idx="1">
                  <c:v>HR</c:v>
                </c:pt>
                <c:pt idx="2">
                  <c:v>Engineering</c:v>
                </c:pt>
                <c:pt idx="3">
                  <c:v>Marketing</c:v>
                </c:pt>
                <c:pt idx="4">
                  <c:v>Operations</c:v>
                </c:pt>
                <c:pt idx="5">
                  <c:v>Sales</c:v>
                </c:pt>
              </c:strCache>
            </c:strRef>
          </c:cat>
          <c:val>
            <c:numRef>
              <c:f>Pivot!$N$51:$N$56</c:f>
              <c:numCache>
                <c:formatCode>#,##0,"K"</c:formatCode>
                <c:ptCount val="6"/>
                <c:pt idx="0">
                  <c:v>2611075</c:v>
                </c:pt>
                <c:pt idx="1">
                  <c:v>3616924</c:v>
                </c:pt>
                <c:pt idx="2">
                  <c:v>3366315</c:v>
                </c:pt>
                <c:pt idx="3">
                  <c:v>3010276</c:v>
                </c:pt>
                <c:pt idx="4">
                  <c:v>3346621</c:v>
                </c:pt>
                <c:pt idx="5">
                  <c:v>2453972</c:v>
                </c:pt>
              </c:numCache>
            </c:numRef>
          </c:val>
          <c:extLst>
            <c:ext xmlns:c16="http://schemas.microsoft.com/office/drawing/2014/chart" uri="{C3380CC4-5D6E-409C-BE32-E72D297353CC}">
              <c16:uniqueId val="{00000000-A79D-4FD8-8B8B-8DAFDCF99955}"/>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Finance</c:v>
                </c:pt>
                <c:pt idx="1">
                  <c:v>HR</c:v>
                </c:pt>
                <c:pt idx="2">
                  <c:v>Engineering</c:v>
                </c:pt>
                <c:pt idx="3">
                  <c:v>Marketing</c:v>
                </c:pt>
                <c:pt idx="4">
                  <c:v>Operations</c:v>
                </c:pt>
                <c:pt idx="5">
                  <c:v>Sales</c:v>
                </c:pt>
              </c:strCache>
            </c:strRef>
          </c:cat>
          <c:val>
            <c:numRef>
              <c:f>Pivot!$O$51:$O$56</c:f>
              <c:numCache>
                <c:formatCode>#,##0,"K"</c:formatCode>
                <c:ptCount val="6"/>
                <c:pt idx="0">
                  <c:v>3159110</c:v>
                </c:pt>
                <c:pt idx="1">
                  <c:v>4425089</c:v>
                </c:pt>
                <c:pt idx="2">
                  <c:v>4162201</c:v>
                </c:pt>
                <c:pt idx="3">
                  <c:v>3898633</c:v>
                </c:pt>
                <c:pt idx="4">
                  <c:v>4160632</c:v>
                </c:pt>
                <c:pt idx="5">
                  <c:v>3148285</c:v>
                </c:pt>
              </c:numCache>
            </c:numRef>
          </c:val>
          <c:extLst>
            <c:ext xmlns:c16="http://schemas.microsoft.com/office/drawing/2014/chart" uri="{C3380CC4-5D6E-409C-BE32-E72D297353CC}">
              <c16:uniqueId val="{00000001-A79D-4FD8-8B8B-8DAFDCF99955}"/>
            </c:ext>
          </c:extLst>
        </c:ser>
        <c:dLbls>
          <c:showLegendKey val="0"/>
          <c:showVal val="0"/>
          <c:showCatName val="0"/>
          <c:showSerName val="0"/>
          <c:showPercent val="0"/>
          <c:showBubbleSize val="0"/>
        </c:dLbls>
        <c:gapWidth val="150"/>
        <c:axId val="1715718832"/>
        <c:axId val="1715703952"/>
      </c:barChart>
      <c:catAx>
        <c:axId val="1715718832"/>
        <c:scaling>
          <c:orientation val="minMax"/>
        </c:scaling>
        <c:delete val="0"/>
        <c:axPos val="b"/>
        <c:numFmt formatCode="General" sourceLinked="1"/>
        <c:majorTickMark val="out"/>
        <c:minorTickMark val="none"/>
        <c:tickLblPos val="nextTo"/>
        <c:spPr>
          <a:ln>
            <a:solidFill>
              <a:srgbClr val="D2D2D2"/>
            </a:solidFill>
          </a:ln>
        </c:spPr>
        <c:crossAx val="1715703952"/>
        <c:crosses val="autoZero"/>
        <c:auto val="1"/>
        <c:lblAlgn val="ctr"/>
        <c:lblOffset val="100"/>
        <c:noMultiLvlLbl val="0"/>
      </c:catAx>
      <c:valAx>
        <c:axId val="1715703952"/>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5718832"/>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4908988</c:v>
                </c:pt>
                <c:pt idx="1">
                  <c:v>4388835</c:v>
                </c:pt>
                <c:pt idx="2">
                  <c:v>5477461</c:v>
                </c:pt>
                <c:pt idx="3">
                  <c:v>3629899</c:v>
                </c:pt>
              </c:numCache>
            </c:numRef>
          </c:val>
          <c:extLst>
            <c:ext xmlns:c16="http://schemas.microsoft.com/office/drawing/2014/chart" uri="{C3380CC4-5D6E-409C-BE32-E72D297353CC}">
              <c16:uniqueId val="{00000000-E046-47FC-BF5A-5B3D1211B998}"/>
            </c:ext>
          </c:extLst>
        </c:ser>
        <c:dLbls>
          <c:showLegendKey val="0"/>
          <c:showVal val="0"/>
          <c:showCatName val="0"/>
          <c:showSerName val="0"/>
          <c:showPercent val="0"/>
          <c:showBubbleSize val="0"/>
        </c:dLbls>
        <c:gapWidth val="70"/>
        <c:axId val="1715720272"/>
        <c:axId val="1715720752"/>
      </c:barChart>
      <c:catAx>
        <c:axId val="1715720272"/>
        <c:scaling>
          <c:orientation val="minMax"/>
        </c:scaling>
        <c:delete val="0"/>
        <c:axPos val="l"/>
        <c:numFmt formatCode="General" sourceLinked="1"/>
        <c:majorTickMark val="out"/>
        <c:minorTickMark val="none"/>
        <c:tickLblPos val="nextTo"/>
        <c:spPr>
          <a:ln>
            <a:solidFill>
              <a:srgbClr val="D2D2D2"/>
            </a:solidFill>
          </a:ln>
        </c:spPr>
        <c:crossAx val="1715720752"/>
        <c:crosses val="autoZero"/>
        <c:auto val="1"/>
        <c:lblAlgn val="ctr"/>
        <c:lblOffset val="100"/>
        <c:noMultiLvlLbl val="0"/>
      </c:catAx>
      <c:valAx>
        <c:axId val="1715720752"/>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5720272"/>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CFB8FE98-DE94-10CB-5D77-4D41CD4C8846}"/>
            </a:ext>
          </a:extLst>
        </xdr:cNvPr>
        <xdr:cNvSpPr/>
      </xdr:nvSpPr>
      <xdr:spPr>
        <a:xfrm>
          <a:off x="0" y="0"/>
          <a:ext cx="16687800" cy="822960"/>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144780</xdr:rowOff>
    </xdr:from>
    <xdr:to>
      <xdr:col>1</xdr:col>
      <xdr:colOff>129540</xdr:colOff>
      <xdr:row>2</xdr:row>
      <xdr:rowOff>129540</xdr:rowOff>
    </xdr:to>
    <xdr:sp macro="" textlink="">
      <xdr:nvSpPr>
        <xdr:cNvPr id="3" name="Oval 2">
          <a:extLst>
            <a:ext uri="{FF2B5EF4-FFF2-40B4-BE49-F238E27FC236}">
              <a16:creationId xmlns:a16="http://schemas.microsoft.com/office/drawing/2014/main" id="{C04DC8F5-889E-F5AB-78DA-A12356218D4B}"/>
            </a:ext>
          </a:extLst>
        </xdr:cNvPr>
        <xdr:cNvSpPr/>
      </xdr:nvSpPr>
      <xdr:spPr>
        <a:xfrm>
          <a:off x="152400" y="144780"/>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231140</xdr:colOff>
      <xdr:row>0</xdr:row>
      <xdr:rowOff>0</xdr:rowOff>
    </xdr:from>
    <xdr:to>
      <xdr:col>25</xdr:col>
      <xdr:colOff>139700</xdr:colOff>
      <xdr:row>3</xdr:row>
      <xdr:rowOff>0</xdr:rowOff>
    </xdr:to>
    <xdr:sp macro="" textlink="">
      <xdr:nvSpPr>
        <xdr:cNvPr id="4" name="TextBox 3">
          <a:extLst>
            <a:ext uri="{FF2B5EF4-FFF2-40B4-BE49-F238E27FC236}">
              <a16:creationId xmlns:a16="http://schemas.microsoft.com/office/drawing/2014/main" id="{E234C547-860D-5173-EA7C-E6F0553C4C42}"/>
            </a:ext>
          </a:extLst>
        </xdr:cNvPr>
        <xdr:cNvSpPr txBox="1"/>
      </xdr:nvSpPr>
      <xdr:spPr>
        <a:xfrm>
          <a:off x="787400" y="0"/>
          <a:ext cx="13258800" cy="8229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241300</xdr:colOff>
      <xdr:row>0</xdr:row>
      <xdr:rowOff>50800</xdr:rowOff>
    </xdr:from>
    <xdr:to>
      <xdr:col>29</xdr:col>
      <xdr:colOff>429260</xdr:colOff>
      <xdr:row>2</xdr:row>
      <xdr:rowOff>223520</xdr:rowOff>
    </xdr:to>
    <xdr:sp macro="" textlink="">
      <xdr:nvSpPr>
        <xdr:cNvPr id="5" name="TextBox 4">
          <a:extLst>
            <a:ext uri="{FF2B5EF4-FFF2-40B4-BE49-F238E27FC236}">
              <a16:creationId xmlns:a16="http://schemas.microsoft.com/office/drawing/2014/main" id="{8073586E-472C-DC61-E495-BC2F2366AEB9}"/>
            </a:ext>
          </a:extLst>
        </xdr:cNvPr>
        <xdr:cNvSpPr txBox="1"/>
      </xdr:nvSpPr>
      <xdr:spPr>
        <a:xfrm>
          <a:off x="14147800" y="50800"/>
          <a:ext cx="2413000" cy="7213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Jul 19,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8CF6CA28-E254-0456-DDF0-A34C66EE4B44}"/>
            </a:ext>
          </a:extLst>
        </xdr:cNvPr>
        <xdr:cNvSpPr/>
      </xdr:nvSpPr>
      <xdr:spPr>
        <a:xfrm>
          <a:off x="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53340</xdr:colOff>
      <xdr:row>7</xdr:row>
      <xdr:rowOff>0</xdr:rowOff>
    </xdr:to>
    <xdr:sp macro="" textlink="">
      <xdr:nvSpPr>
        <xdr:cNvPr id="7" name="Oval 6">
          <a:extLst>
            <a:ext uri="{FF2B5EF4-FFF2-40B4-BE49-F238E27FC236}">
              <a16:creationId xmlns:a16="http://schemas.microsoft.com/office/drawing/2014/main" id="{73837939-DB66-ED26-633F-7C644D3A6139}"/>
            </a:ext>
          </a:extLst>
        </xdr:cNvPr>
        <xdr:cNvSpPr/>
      </xdr:nvSpPr>
      <xdr:spPr>
        <a:xfrm>
          <a:off x="127000" y="1254760"/>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129540</xdr:colOff>
      <xdr:row>4</xdr:row>
      <xdr:rowOff>101600</xdr:rowOff>
    </xdr:from>
    <xdr:to>
      <xdr:col>4</xdr:col>
      <xdr:colOff>505460</xdr:colOff>
      <xdr:row>5</xdr:row>
      <xdr:rowOff>152400</xdr:rowOff>
    </xdr:to>
    <xdr:sp macro="" textlink="">
      <xdr:nvSpPr>
        <xdr:cNvPr id="8" name="TextBox 7">
          <a:extLst>
            <a:ext uri="{FF2B5EF4-FFF2-40B4-BE49-F238E27FC236}">
              <a16:creationId xmlns:a16="http://schemas.microsoft.com/office/drawing/2014/main" id="{B746613E-C5D9-0DB6-FD4C-BD0C1F1E36A9}"/>
            </a:ext>
          </a:extLst>
        </xdr:cNvPr>
        <xdr:cNvSpPr txBox="1"/>
      </xdr:nvSpPr>
      <xdr:spPr>
        <a:xfrm>
          <a:off x="6858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129540</xdr:colOff>
      <xdr:row>5</xdr:row>
      <xdr:rowOff>139700</xdr:rowOff>
    </xdr:from>
    <xdr:to>
      <xdr:col>4</xdr:col>
      <xdr:colOff>505460</xdr:colOff>
      <xdr:row>7</xdr:row>
      <xdr:rowOff>114300</xdr:rowOff>
    </xdr:to>
    <xdr:sp macro="" textlink="Dashboard!$AF$2">
      <xdr:nvSpPr>
        <xdr:cNvPr id="9" name="TextBox 8">
          <a:extLst>
            <a:ext uri="{FF2B5EF4-FFF2-40B4-BE49-F238E27FC236}">
              <a16:creationId xmlns:a16="http://schemas.microsoft.com/office/drawing/2014/main" id="{5D3FF786-E94F-013D-4F9A-6C6AE73014E8}"/>
            </a:ext>
          </a:extLst>
        </xdr:cNvPr>
        <xdr:cNvSpPr txBox="1"/>
      </xdr:nvSpPr>
      <xdr:spPr>
        <a:xfrm>
          <a:off x="6858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B590F65-C4C0-4666-998E-398D9977FBFF}" type="TxLink">
            <a:rPr lang="en-US" sz="2800" b="1" i="0" u="none" strike="noStrike">
              <a:solidFill>
                <a:srgbClr val="054A19"/>
              </a:solidFill>
              <a:latin typeface="Aptos"/>
            </a:rPr>
            <a:pPr algn="ctr"/>
            <a:t>18,405K</a:t>
          </a:fld>
          <a:endParaRPr lang="en-IN" sz="2800" b="1">
            <a:solidFill>
              <a:srgbClr val="054A19"/>
            </a:solidFill>
          </a:endParaRPr>
        </a:p>
      </xdr:txBody>
    </xdr:sp>
    <xdr:clientData/>
  </xdr:twoCellAnchor>
  <xdr:twoCellAnchor>
    <xdr:from>
      <xdr:col>1</xdr:col>
      <xdr:colOff>129540</xdr:colOff>
      <xdr:row>7</xdr:row>
      <xdr:rowOff>50800</xdr:rowOff>
    </xdr:from>
    <xdr:to>
      <xdr:col>4</xdr:col>
      <xdr:colOff>505460</xdr:colOff>
      <xdr:row>7</xdr:row>
      <xdr:rowOff>215900</xdr:rowOff>
    </xdr:to>
    <xdr:sp macro="" textlink="">
      <xdr:nvSpPr>
        <xdr:cNvPr id="10" name="TextBox 9">
          <a:extLst>
            <a:ext uri="{FF2B5EF4-FFF2-40B4-BE49-F238E27FC236}">
              <a16:creationId xmlns:a16="http://schemas.microsoft.com/office/drawing/2014/main" id="{37CD688B-FA35-A7FA-171D-C3C93F777161}"/>
            </a:ext>
          </a:extLst>
        </xdr:cNvPr>
        <xdr:cNvSpPr txBox="1"/>
      </xdr:nvSpPr>
      <xdr:spPr>
        <a:xfrm>
          <a:off x="6858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1729FB04-D27C-C20C-58A6-6D1416DA96CF}"/>
            </a:ext>
          </a:extLst>
        </xdr:cNvPr>
        <xdr:cNvSpPr/>
      </xdr:nvSpPr>
      <xdr:spPr>
        <a:xfrm>
          <a:off x="27813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53340</xdr:colOff>
      <xdr:row>7</xdr:row>
      <xdr:rowOff>0</xdr:rowOff>
    </xdr:to>
    <xdr:sp macro="" textlink="">
      <xdr:nvSpPr>
        <xdr:cNvPr id="12" name="Oval 11">
          <a:extLst>
            <a:ext uri="{FF2B5EF4-FFF2-40B4-BE49-F238E27FC236}">
              <a16:creationId xmlns:a16="http://schemas.microsoft.com/office/drawing/2014/main" id="{F223CB1D-B00F-6158-5898-78FE03754725}"/>
            </a:ext>
          </a:extLst>
        </xdr:cNvPr>
        <xdr:cNvSpPr/>
      </xdr:nvSpPr>
      <xdr:spPr>
        <a:xfrm>
          <a:off x="2908300" y="1254760"/>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129540</xdr:colOff>
      <xdr:row>4</xdr:row>
      <xdr:rowOff>101600</xdr:rowOff>
    </xdr:from>
    <xdr:to>
      <xdr:col>9</xdr:col>
      <xdr:colOff>505460</xdr:colOff>
      <xdr:row>5</xdr:row>
      <xdr:rowOff>152400</xdr:rowOff>
    </xdr:to>
    <xdr:sp macro="" textlink="">
      <xdr:nvSpPr>
        <xdr:cNvPr id="13" name="TextBox 12">
          <a:extLst>
            <a:ext uri="{FF2B5EF4-FFF2-40B4-BE49-F238E27FC236}">
              <a16:creationId xmlns:a16="http://schemas.microsoft.com/office/drawing/2014/main" id="{D47EF4F6-8EDF-9285-F898-5A02D8C2A47B}"/>
            </a:ext>
          </a:extLst>
        </xdr:cNvPr>
        <xdr:cNvSpPr txBox="1"/>
      </xdr:nvSpPr>
      <xdr:spPr>
        <a:xfrm>
          <a:off x="34671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129540</xdr:colOff>
      <xdr:row>5</xdr:row>
      <xdr:rowOff>139700</xdr:rowOff>
    </xdr:from>
    <xdr:to>
      <xdr:col>9</xdr:col>
      <xdr:colOff>505460</xdr:colOff>
      <xdr:row>7</xdr:row>
      <xdr:rowOff>114300</xdr:rowOff>
    </xdr:to>
    <xdr:sp macro="" textlink="Dashboard!$AF$3">
      <xdr:nvSpPr>
        <xdr:cNvPr id="14" name="TextBox 13">
          <a:extLst>
            <a:ext uri="{FF2B5EF4-FFF2-40B4-BE49-F238E27FC236}">
              <a16:creationId xmlns:a16="http://schemas.microsoft.com/office/drawing/2014/main" id="{92E99C7A-EA2D-9F88-FF1C-56CF5F6A63BA}"/>
            </a:ext>
          </a:extLst>
        </xdr:cNvPr>
        <xdr:cNvSpPr txBox="1"/>
      </xdr:nvSpPr>
      <xdr:spPr>
        <a:xfrm>
          <a:off x="34671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402DE5A-1DEA-45BC-A916-02CF3ED391FF}" type="TxLink">
            <a:rPr lang="en-US" sz="2800" b="1" i="0" u="none" strike="noStrike">
              <a:solidFill>
                <a:srgbClr val="054A19"/>
              </a:solidFill>
              <a:latin typeface="Aptos"/>
            </a:rPr>
            <a:pPr algn="ctr"/>
            <a:t>22,954K</a:t>
          </a:fld>
          <a:endParaRPr lang="en-IN" sz="2800" b="1">
            <a:solidFill>
              <a:srgbClr val="054A19"/>
            </a:solidFill>
          </a:endParaRPr>
        </a:p>
      </xdr:txBody>
    </xdr:sp>
    <xdr:clientData/>
  </xdr:twoCellAnchor>
  <xdr:twoCellAnchor>
    <xdr:from>
      <xdr:col>6</xdr:col>
      <xdr:colOff>129540</xdr:colOff>
      <xdr:row>7</xdr:row>
      <xdr:rowOff>50800</xdr:rowOff>
    </xdr:from>
    <xdr:to>
      <xdr:col>9</xdr:col>
      <xdr:colOff>505460</xdr:colOff>
      <xdr:row>7</xdr:row>
      <xdr:rowOff>215900</xdr:rowOff>
    </xdr:to>
    <xdr:sp macro="" textlink="">
      <xdr:nvSpPr>
        <xdr:cNvPr id="15" name="TextBox 14">
          <a:extLst>
            <a:ext uri="{FF2B5EF4-FFF2-40B4-BE49-F238E27FC236}">
              <a16:creationId xmlns:a16="http://schemas.microsoft.com/office/drawing/2014/main" id="{5C5A8674-B950-3A06-AD60-0396762F6A66}"/>
            </a:ext>
          </a:extLst>
        </xdr:cNvPr>
        <xdr:cNvSpPr txBox="1"/>
      </xdr:nvSpPr>
      <xdr:spPr>
        <a:xfrm>
          <a:off x="34671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9F773DB5-072F-919A-43FB-1A355910A37B}"/>
            </a:ext>
          </a:extLst>
        </xdr:cNvPr>
        <xdr:cNvSpPr/>
      </xdr:nvSpPr>
      <xdr:spPr>
        <a:xfrm>
          <a:off x="55626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53340</xdr:colOff>
      <xdr:row>7</xdr:row>
      <xdr:rowOff>0</xdr:rowOff>
    </xdr:to>
    <xdr:sp macro="" textlink="">
      <xdr:nvSpPr>
        <xdr:cNvPr id="17" name="Oval 16">
          <a:extLst>
            <a:ext uri="{FF2B5EF4-FFF2-40B4-BE49-F238E27FC236}">
              <a16:creationId xmlns:a16="http://schemas.microsoft.com/office/drawing/2014/main" id="{66ABA913-114A-B357-31F8-879776233521}"/>
            </a:ext>
          </a:extLst>
        </xdr:cNvPr>
        <xdr:cNvSpPr/>
      </xdr:nvSpPr>
      <xdr:spPr>
        <a:xfrm>
          <a:off x="5689600" y="1254760"/>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129540</xdr:colOff>
      <xdr:row>4</xdr:row>
      <xdr:rowOff>101600</xdr:rowOff>
    </xdr:from>
    <xdr:to>
      <xdr:col>14</xdr:col>
      <xdr:colOff>505460</xdr:colOff>
      <xdr:row>5</xdr:row>
      <xdr:rowOff>152400</xdr:rowOff>
    </xdr:to>
    <xdr:sp macro="" textlink="">
      <xdr:nvSpPr>
        <xdr:cNvPr id="18" name="TextBox 17">
          <a:extLst>
            <a:ext uri="{FF2B5EF4-FFF2-40B4-BE49-F238E27FC236}">
              <a16:creationId xmlns:a16="http://schemas.microsoft.com/office/drawing/2014/main" id="{962713E5-29E1-877F-6515-F43832DA99BB}"/>
            </a:ext>
          </a:extLst>
        </xdr:cNvPr>
        <xdr:cNvSpPr txBox="1"/>
      </xdr:nvSpPr>
      <xdr:spPr>
        <a:xfrm>
          <a:off x="62484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129540</xdr:colOff>
      <xdr:row>5</xdr:row>
      <xdr:rowOff>139700</xdr:rowOff>
    </xdr:from>
    <xdr:to>
      <xdr:col>14</xdr:col>
      <xdr:colOff>505460</xdr:colOff>
      <xdr:row>7</xdr:row>
      <xdr:rowOff>114300</xdr:rowOff>
    </xdr:to>
    <xdr:sp macro="" textlink="Dashboard!$AF$4">
      <xdr:nvSpPr>
        <xdr:cNvPr id="19" name="TextBox 18">
          <a:extLst>
            <a:ext uri="{FF2B5EF4-FFF2-40B4-BE49-F238E27FC236}">
              <a16:creationId xmlns:a16="http://schemas.microsoft.com/office/drawing/2014/main" id="{DC3B9A45-224B-D2E4-4FCC-96E03E498C8B}"/>
            </a:ext>
          </a:extLst>
        </xdr:cNvPr>
        <xdr:cNvSpPr txBox="1"/>
      </xdr:nvSpPr>
      <xdr:spPr>
        <a:xfrm>
          <a:off x="62484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0C8E286-FE44-4739-8BB1-5AA1E4A5A081}" type="TxLink">
            <a:rPr lang="en-US" sz="2800" b="1" i="0" u="none" strike="noStrike">
              <a:solidFill>
                <a:srgbClr val="054A19"/>
              </a:solidFill>
              <a:latin typeface="Aptos"/>
            </a:rPr>
            <a:pPr algn="ctr"/>
            <a:t>4,549K</a:t>
          </a:fld>
          <a:endParaRPr lang="en-IN" sz="2800" b="1">
            <a:solidFill>
              <a:srgbClr val="054A19"/>
            </a:solidFill>
          </a:endParaRPr>
        </a:p>
      </xdr:txBody>
    </xdr:sp>
    <xdr:clientData/>
  </xdr:twoCellAnchor>
  <xdr:twoCellAnchor>
    <xdr:from>
      <xdr:col>11</xdr:col>
      <xdr:colOff>129540</xdr:colOff>
      <xdr:row>7</xdr:row>
      <xdr:rowOff>50800</xdr:rowOff>
    </xdr:from>
    <xdr:to>
      <xdr:col>14</xdr:col>
      <xdr:colOff>505460</xdr:colOff>
      <xdr:row>7</xdr:row>
      <xdr:rowOff>215900</xdr:rowOff>
    </xdr:to>
    <xdr:sp macro="" textlink="">
      <xdr:nvSpPr>
        <xdr:cNvPr id="20" name="TextBox 19">
          <a:extLst>
            <a:ext uri="{FF2B5EF4-FFF2-40B4-BE49-F238E27FC236}">
              <a16:creationId xmlns:a16="http://schemas.microsoft.com/office/drawing/2014/main" id="{53FC8F38-407E-4B60-6943-F55FF0F64935}"/>
            </a:ext>
          </a:extLst>
        </xdr:cNvPr>
        <xdr:cNvSpPr txBox="1"/>
      </xdr:nvSpPr>
      <xdr:spPr>
        <a:xfrm>
          <a:off x="62484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BF163054-39B0-1E81-B026-36AD6171D6F0}"/>
            </a:ext>
          </a:extLst>
        </xdr:cNvPr>
        <xdr:cNvSpPr/>
      </xdr:nvSpPr>
      <xdr:spPr>
        <a:xfrm>
          <a:off x="83439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53340</xdr:colOff>
      <xdr:row>7</xdr:row>
      <xdr:rowOff>0</xdr:rowOff>
    </xdr:to>
    <xdr:sp macro="" textlink="">
      <xdr:nvSpPr>
        <xdr:cNvPr id="22" name="Oval 21">
          <a:extLst>
            <a:ext uri="{FF2B5EF4-FFF2-40B4-BE49-F238E27FC236}">
              <a16:creationId xmlns:a16="http://schemas.microsoft.com/office/drawing/2014/main" id="{D762BE98-C49D-928E-3909-A3860286CF8A}"/>
            </a:ext>
          </a:extLst>
        </xdr:cNvPr>
        <xdr:cNvSpPr/>
      </xdr:nvSpPr>
      <xdr:spPr>
        <a:xfrm>
          <a:off x="8470900" y="1254760"/>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129540</xdr:colOff>
      <xdr:row>4</xdr:row>
      <xdr:rowOff>101600</xdr:rowOff>
    </xdr:from>
    <xdr:to>
      <xdr:col>19</xdr:col>
      <xdr:colOff>505460</xdr:colOff>
      <xdr:row>5</xdr:row>
      <xdr:rowOff>152400</xdr:rowOff>
    </xdr:to>
    <xdr:sp macro="" textlink="">
      <xdr:nvSpPr>
        <xdr:cNvPr id="23" name="TextBox 22">
          <a:extLst>
            <a:ext uri="{FF2B5EF4-FFF2-40B4-BE49-F238E27FC236}">
              <a16:creationId xmlns:a16="http://schemas.microsoft.com/office/drawing/2014/main" id="{E8F344F7-FBCF-C4E3-27BE-14224809ABAA}"/>
            </a:ext>
          </a:extLst>
        </xdr:cNvPr>
        <xdr:cNvSpPr txBox="1"/>
      </xdr:nvSpPr>
      <xdr:spPr>
        <a:xfrm>
          <a:off x="90297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129540</xdr:colOff>
      <xdr:row>5</xdr:row>
      <xdr:rowOff>139700</xdr:rowOff>
    </xdr:from>
    <xdr:to>
      <xdr:col>19</xdr:col>
      <xdr:colOff>505460</xdr:colOff>
      <xdr:row>7</xdr:row>
      <xdr:rowOff>114300</xdr:rowOff>
    </xdr:to>
    <xdr:sp macro="" textlink="Dashboard!$AF$5">
      <xdr:nvSpPr>
        <xdr:cNvPr id="24" name="TextBox 23">
          <a:extLst>
            <a:ext uri="{FF2B5EF4-FFF2-40B4-BE49-F238E27FC236}">
              <a16:creationId xmlns:a16="http://schemas.microsoft.com/office/drawing/2014/main" id="{9B1B0769-48EA-7AC6-39C4-DEFCC082E3EF}"/>
            </a:ext>
          </a:extLst>
        </xdr:cNvPr>
        <xdr:cNvSpPr txBox="1"/>
      </xdr:nvSpPr>
      <xdr:spPr>
        <a:xfrm>
          <a:off x="90297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008973B-978F-481E-94F7-0EF2988CBEA6}" type="TxLink">
            <a:rPr lang="en-US" sz="2800" b="1" i="0" u="none" strike="noStrike">
              <a:solidFill>
                <a:srgbClr val="054A19"/>
              </a:solidFill>
              <a:latin typeface="Aptos"/>
            </a:rPr>
            <a:pPr algn="ctr"/>
            <a:t>415</a:t>
          </a:fld>
          <a:endParaRPr lang="en-IN" sz="2800" b="1">
            <a:solidFill>
              <a:srgbClr val="054A19"/>
            </a:solidFill>
          </a:endParaRPr>
        </a:p>
      </xdr:txBody>
    </xdr:sp>
    <xdr:clientData/>
  </xdr:twoCellAnchor>
  <xdr:twoCellAnchor>
    <xdr:from>
      <xdr:col>16</xdr:col>
      <xdr:colOff>129540</xdr:colOff>
      <xdr:row>7</xdr:row>
      <xdr:rowOff>50800</xdr:rowOff>
    </xdr:from>
    <xdr:to>
      <xdr:col>19</xdr:col>
      <xdr:colOff>505460</xdr:colOff>
      <xdr:row>7</xdr:row>
      <xdr:rowOff>215900</xdr:rowOff>
    </xdr:to>
    <xdr:sp macro="" textlink="">
      <xdr:nvSpPr>
        <xdr:cNvPr id="25" name="TextBox 24">
          <a:extLst>
            <a:ext uri="{FF2B5EF4-FFF2-40B4-BE49-F238E27FC236}">
              <a16:creationId xmlns:a16="http://schemas.microsoft.com/office/drawing/2014/main" id="{0E608957-DC97-DE93-9671-10216B90E4C4}"/>
            </a:ext>
          </a:extLst>
        </xdr:cNvPr>
        <xdr:cNvSpPr txBox="1"/>
      </xdr:nvSpPr>
      <xdr:spPr>
        <a:xfrm>
          <a:off x="90297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89DFCD62-5DA4-DDFC-02E3-B3E3763FFA8A}"/>
            </a:ext>
          </a:extLst>
        </xdr:cNvPr>
        <xdr:cNvSpPr/>
      </xdr:nvSpPr>
      <xdr:spPr>
        <a:xfrm>
          <a:off x="111252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53340</xdr:colOff>
      <xdr:row>7</xdr:row>
      <xdr:rowOff>0</xdr:rowOff>
    </xdr:to>
    <xdr:sp macro="" textlink="">
      <xdr:nvSpPr>
        <xdr:cNvPr id="27" name="Oval 26">
          <a:extLst>
            <a:ext uri="{FF2B5EF4-FFF2-40B4-BE49-F238E27FC236}">
              <a16:creationId xmlns:a16="http://schemas.microsoft.com/office/drawing/2014/main" id="{0F240D16-3376-50EE-D1F1-B5BAE58A3C49}"/>
            </a:ext>
          </a:extLst>
        </xdr:cNvPr>
        <xdr:cNvSpPr/>
      </xdr:nvSpPr>
      <xdr:spPr>
        <a:xfrm>
          <a:off x="11252200" y="1254760"/>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129540</xdr:colOff>
      <xdr:row>4</xdr:row>
      <xdr:rowOff>101600</xdr:rowOff>
    </xdr:from>
    <xdr:to>
      <xdr:col>24</xdr:col>
      <xdr:colOff>505460</xdr:colOff>
      <xdr:row>5</xdr:row>
      <xdr:rowOff>152400</xdr:rowOff>
    </xdr:to>
    <xdr:sp macro="" textlink="">
      <xdr:nvSpPr>
        <xdr:cNvPr id="28" name="TextBox 27">
          <a:extLst>
            <a:ext uri="{FF2B5EF4-FFF2-40B4-BE49-F238E27FC236}">
              <a16:creationId xmlns:a16="http://schemas.microsoft.com/office/drawing/2014/main" id="{2E7E1E37-5EC2-C573-56A8-CF142F1663B7}"/>
            </a:ext>
          </a:extLst>
        </xdr:cNvPr>
        <xdr:cNvSpPr txBox="1"/>
      </xdr:nvSpPr>
      <xdr:spPr>
        <a:xfrm>
          <a:off x="118110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129540</xdr:colOff>
      <xdr:row>5</xdr:row>
      <xdr:rowOff>139700</xdr:rowOff>
    </xdr:from>
    <xdr:to>
      <xdr:col>24</xdr:col>
      <xdr:colOff>505460</xdr:colOff>
      <xdr:row>7</xdr:row>
      <xdr:rowOff>114300</xdr:rowOff>
    </xdr:to>
    <xdr:sp macro="" textlink="Dashboard!$AF$6">
      <xdr:nvSpPr>
        <xdr:cNvPr id="29" name="TextBox 28">
          <a:extLst>
            <a:ext uri="{FF2B5EF4-FFF2-40B4-BE49-F238E27FC236}">
              <a16:creationId xmlns:a16="http://schemas.microsoft.com/office/drawing/2014/main" id="{8E617E58-F0DA-995C-57A4-97E980CCCE47}"/>
            </a:ext>
          </a:extLst>
        </xdr:cNvPr>
        <xdr:cNvSpPr txBox="1"/>
      </xdr:nvSpPr>
      <xdr:spPr>
        <a:xfrm>
          <a:off x="118110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0FB14BB2-B1F2-4441-BD53-DB71998D3192}" type="TxLink">
            <a:rPr lang="en-US" sz="2800" b="1" i="0" u="none" strike="noStrike">
              <a:solidFill>
                <a:srgbClr val="054A19"/>
              </a:solidFill>
              <a:latin typeface="Aptos"/>
            </a:rPr>
            <a:pPr algn="ctr"/>
            <a:t>81.4%</a:t>
          </a:fld>
          <a:endParaRPr lang="en-IN" sz="2800" b="1">
            <a:solidFill>
              <a:srgbClr val="054A19"/>
            </a:solidFill>
          </a:endParaRPr>
        </a:p>
      </xdr:txBody>
    </xdr:sp>
    <xdr:clientData/>
  </xdr:twoCellAnchor>
  <xdr:twoCellAnchor>
    <xdr:from>
      <xdr:col>21</xdr:col>
      <xdr:colOff>129540</xdr:colOff>
      <xdr:row>7</xdr:row>
      <xdr:rowOff>50800</xdr:rowOff>
    </xdr:from>
    <xdr:to>
      <xdr:col>24</xdr:col>
      <xdr:colOff>505460</xdr:colOff>
      <xdr:row>7</xdr:row>
      <xdr:rowOff>215900</xdr:rowOff>
    </xdr:to>
    <xdr:sp macro="" textlink="">
      <xdr:nvSpPr>
        <xdr:cNvPr id="30" name="TextBox 29">
          <a:extLst>
            <a:ext uri="{FF2B5EF4-FFF2-40B4-BE49-F238E27FC236}">
              <a16:creationId xmlns:a16="http://schemas.microsoft.com/office/drawing/2014/main" id="{F0EDDF83-2DE8-09B5-BE30-E65C1DD0F78A}"/>
            </a:ext>
          </a:extLst>
        </xdr:cNvPr>
        <xdr:cNvSpPr txBox="1"/>
      </xdr:nvSpPr>
      <xdr:spPr>
        <a:xfrm>
          <a:off x="118110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98B2525C-81FA-E0CD-9780-DC83D7D99CCC}"/>
            </a:ext>
          </a:extLst>
        </xdr:cNvPr>
        <xdr:cNvSpPr/>
      </xdr:nvSpPr>
      <xdr:spPr>
        <a:xfrm>
          <a:off x="13906500" y="1051560"/>
          <a:ext cx="27813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53340</xdr:colOff>
      <xdr:row>7</xdr:row>
      <xdr:rowOff>0</xdr:rowOff>
    </xdr:to>
    <xdr:sp macro="" textlink="">
      <xdr:nvSpPr>
        <xdr:cNvPr id="32" name="Oval 31">
          <a:extLst>
            <a:ext uri="{FF2B5EF4-FFF2-40B4-BE49-F238E27FC236}">
              <a16:creationId xmlns:a16="http://schemas.microsoft.com/office/drawing/2014/main" id="{132943E4-07B6-C952-2C0B-19A5CD66C35C}"/>
            </a:ext>
          </a:extLst>
        </xdr:cNvPr>
        <xdr:cNvSpPr/>
      </xdr:nvSpPr>
      <xdr:spPr>
        <a:xfrm>
          <a:off x="14033500" y="1254760"/>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129540</xdr:colOff>
      <xdr:row>4</xdr:row>
      <xdr:rowOff>101600</xdr:rowOff>
    </xdr:from>
    <xdr:to>
      <xdr:col>29</xdr:col>
      <xdr:colOff>505460</xdr:colOff>
      <xdr:row>5</xdr:row>
      <xdr:rowOff>152400</xdr:rowOff>
    </xdr:to>
    <xdr:sp macro="" textlink="">
      <xdr:nvSpPr>
        <xdr:cNvPr id="33" name="TextBox 32">
          <a:extLst>
            <a:ext uri="{FF2B5EF4-FFF2-40B4-BE49-F238E27FC236}">
              <a16:creationId xmlns:a16="http://schemas.microsoft.com/office/drawing/2014/main" id="{65E1C74C-4C1E-CA5C-6C22-6EAC63B6BC5A}"/>
            </a:ext>
          </a:extLst>
        </xdr:cNvPr>
        <xdr:cNvSpPr txBox="1"/>
      </xdr:nvSpPr>
      <xdr:spPr>
        <a:xfrm>
          <a:off x="14592300" y="1153160"/>
          <a:ext cx="20447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129540</xdr:colOff>
      <xdr:row>5</xdr:row>
      <xdr:rowOff>139700</xdr:rowOff>
    </xdr:from>
    <xdr:to>
      <xdr:col>29</xdr:col>
      <xdr:colOff>505460</xdr:colOff>
      <xdr:row>7</xdr:row>
      <xdr:rowOff>114300</xdr:rowOff>
    </xdr:to>
    <xdr:sp macro="" textlink="Dashboard!$AF$7">
      <xdr:nvSpPr>
        <xdr:cNvPr id="34" name="TextBox 33">
          <a:extLst>
            <a:ext uri="{FF2B5EF4-FFF2-40B4-BE49-F238E27FC236}">
              <a16:creationId xmlns:a16="http://schemas.microsoft.com/office/drawing/2014/main" id="{95627F5D-0992-983F-EBB2-B20D6F6F93CA}"/>
            </a:ext>
          </a:extLst>
        </xdr:cNvPr>
        <xdr:cNvSpPr txBox="1"/>
      </xdr:nvSpPr>
      <xdr:spPr>
        <a:xfrm>
          <a:off x="14592300" y="1419860"/>
          <a:ext cx="20447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359A6D5-346A-4F68-8F98-5E22F7BE4306}" type="TxLink">
            <a:rPr lang="en-US" sz="2800" b="1" i="0" u="none" strike="noStrike">
              <a:solidFill>
                <a:srgbClr val="054A19"/>
              </a:solidFill>
              <a:latin typeface="Aptos"/>
            </a:rPr>
            <a:pPr algn="ctr"/>
            <a:t>44K</a:t>
          </a:fld>
          <a:endParaRPr lang="en-IN" sz="2800" b="1">
            <a:solidFill>
              <a:srgbClr val="054A19"/>
            </a:solidFill>
          </a:endParaRPr>
        </a:p>
      </xdr:txBody>
    </xdr:sp>
    <xdr:clientData/>
  </xdr:twoCellAnchor>
  <xdr:twoCellAnchor>
    <xdr:from>
      <xdr:col>26</xdr:col>
      <xdr:colOff>129540</xdr:colOff>
      <xdr:row>7</xdr:row>
      <xdr:rowOff>50800</xdr:rowOff>
    </xdr:from>
    <xdr:to>
      <xdr:col>29</xdr:col>
      <xdr:colOff>505460</xdr:colOff>
      <xdr:row>7</xdr:row>
      <xdr:rowOff>215900</xdr:rowOff>
    </xdr:to>
    <xdr:sp macro="" textlink="">
      <xdr:nvSpPr>
        <xdr:cNvPr id="35" name="TextBox 34">
          <a:extLst>
            <a:ext uri="{FF2B5EF4-FFF2-40B4-BE49-F238E27FC236}">
              <a16:creationId xmlns:a16="http://schemas.microsoft.com/office/drawing/2014/main" id="{E0EEE4C8-AC09-B1D4-7E8F-5E163F2A3DEE}"/>
            </a:ext>
          </a:extLst>
        </xdr:cNvPr>
        <xdr:cNvSpPr txBox="1"/>
      </xdr:nvSpPr>
      <xdr:spPr>
        <a:xfrm>
          <a:off x="14592300" y="1788160"/>
          <a:ext cx="20447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1FC7505A-16DF-CF6C-D8D2-3A24F2C17C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51DD8219-215A-73FB-ED38-C910408F0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BAB3CB31-C1F4-F143-1642-A798851BF1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92DA83AF-6C64-CDF2-5999-9DCCB951BB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1D7BBD9B-9109-22B5-3631-F07F4196C0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23949</xdr:colOff>
      <xdr:row>9</xdr:row>
      <xdr:rowOff>6531</xdr:rowOff>
    </xdr:from>
    <xdr:to>
      <xdr:col>30</xdr:col>
      <xdr:colOff>32657</xdr:colOff>
      <xdr:row>14</xdr:row>
      <xdr:rowOff>6531</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AE0E582E-3019-B0CA-AA27-AA666A518D7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284188" y="2190173"/>
              <a:ext cx="4466976" cy="1137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23949</xdr:colOff>
      <xdr:row>14</xdr:row>
      <xdr:rowOff>6531</xdr:rowOff>
    </xdr:from>
    <xdr:to>
      <xdr:col>30</xdr:col>
      <xdr:colOff>32657</xdr:colOff>
      <xdr:row>18</xdr:row>
      <xdr:rowOff>6531</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55169DD2-84BD-C84C-0D90-ECA357D7F67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2284188" y="3327486"/>
              <a:ext cx="4466976" cy="909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 SIVAPRASAD REDDY" refreshedDate="46222.618562847223" createdVersion="8" refreshedVersion="8" minRefreshableVersion="3" recordCount="415" xr:uid="{F08D685B-4E39-4800-B02C-85D82744C49E}">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568384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F232EC-EAA7-4CFA-BCB0-C38C27B8F8B2}" name="PT_ExpenseByDepartmen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10" firstHeaderRow="1" firstDataRow="1" firstDataCol="1"/>
  <pivotFields count="13">
    <pivotField compact="0" outline="0" showAll="0"/>
    <pivotField compact="0" numFmtId="164" outline="0" showAll="0"/>
    <pivotField axis="axisRow" compact="0" outline="0" showAll="0">
      <items count="7">
        <item x="4"/>
        <item x="3"/>
        <item x="0"/>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Items count="1">
    <i/>
  </colItems>
  <dataFields count="1">
    <dataField name="Sum of Amount (INR)" fld="5" baseField="0" baseItem="0" numFmtId="165"/>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2"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2"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784FB0-2A42-4BF3-989E-D3B2B880A1D8}" name="PT_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x="4"/>
        <item x="3"/>
        <item x="0"/>
        <item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x="0"/>
        <item x="1"/>
        <item x="2"/>
        <item x="3"/>
        <item x="4"/>
        <item x="5"/>
        <item x="6"/>
        <item x="7"/>
        <item x="8"/>
        <item x="9"/>
        <item x="10"/>
        <item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19">
      <pivotArea outline="0" collapsedLevelsAreSubtotals="1" fieldPosition="0"/>
    </format>
    <format dxfId="18">
      <pivotArea outline="0" collapsedLevelsAreSubtotals="1" fieldPosition="0">
        <references count="1">
          <reference field="4294967294" count="1" selected="0">
            <x v="3"/>
          </reference>
        </references>
      </pivotArea>
    </format>
    <format dxfId="17">
      <pivotArea type="all" dataOnly="0" outline="0" fieldPosition="0"/>
    </format>
    <format dxfId="16">
      <pivotArea outline="0" collapsedLevelsAreSubtotals="1" fieldPosition="0"/>
    </format>
    <format dxfId="15">
      <pivotArea dataOnly="0" labelOnly="1" outline="0" fieldPosition="0">
        <references count="1">
          <reference field="4294967294" count="4">
            <x v="0"/>
            <x v="1"/>
            <x v="2"/>
            <x v="3"/>
          </reference>
        </references>
      </pivotArea>
    </format>
    <format dxfId="14">
      <pivotArea type="all" dataOnly="0" outline="0" fieldPosition="0"/>
    </format>
    <format dxfId="13">
      <pivotArea outline="0" collapsedLevelsAreSubtotals="1" fieldPosition="0"/>
    </format>
    <format dxfId="12">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FB3B29-C893-4ABF-AA22-8A086A0014BA}" name="PT_MonthlyTren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16" firstHeaderRow="1" firstDataRow="1" firstDataCol="1"/>
  <pivotFields count="13">
    <pivotField compact="0" outline="0" showAll="0"/>
    <pivotField compact="0" numFmtId="164" outline="0" showAll="0"/>
    <pivotField compact="0" outline="0" showAll="0">
      <items count="7">
        <item x="4"/>
        <item x="3"/>
        <item x="0"/>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x="0"/>
        <item x="1"/>
        <item x="2"/>
        <item x="3"/>
        <item x="4"/>
        <item x="5"/>
        <item x="6"/>
        <item x="7"/>
        <item x="8"/>
        <item x="9"/>
        <item x="10"/>
        <item x="11"/>
        <item t="default"/>
      </items>
    </pivotField>
  </pivotFields>
  <rowFields count="1">
    <field x="12"/>
  </rowFields>
  <rowItems count="13">
    <i>
      <x/>
    </i>
    <i>
      <x v="1"/>
    </i>
    <i>
      <x v="2"/>
    </i>
    <i>
      <x v="3"/>
    </i>
    <i>
      <x v="4"/>
    </i>
    <i>
      <x v="5"/>
    </i>
    <i>
      <x v="6"/>
    </i>
    <i>
      <x v="7"/>
    </i>
    <i>
      <x v="8"/>
    </i>
    <i>
      <x v="9"/>
    </i>
    <i>
      <x v="10"/>
    </i>
    <i>
      <x v="11"/>
    </i>
    <i t="grand">
      <x/>
    </i>
  </rowItems>
  <colItems count="1">
    <i/>
  </colItems>
  <dataFields count="1">
    <dataField name="Sum of Amount (INR)" fld="5" baseField="0" baseItem="0" numFmtId="165"/>
  </dataFields>
  <formats count="12">
    <format dxfId="31">
      <pivotArea type="all" dataOnly="0" outline="0" fieldPosition="0"/>
    </format>
    <format dxfId="30">
      <pivotArea outline="0" collapsedLevelsAreSubtotals="1" fieldPosition="0"/>
    </format>
    <format dxfId="29">
      <pivotArea field="12" type="button" dataOnly="0" labelOnly="1" outline="0" axis="axisRow" fieldPosition="0"/>
    </format>
    <format dxfId="28">
      <pivotArea dataOnly="0" labelOnly="1" outline="0" fieldPosition="0">
        <references count="1">
          <reference field="12" count="0"/>
        </references>
      </pivotArea>
    </format>
    <format dxfId="27">
      <pivotArea dataOnly="0" labelOnly="1" grandRow="1" outline="0" fieldPosition="0"/>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field="12" type="button" dataOnly="0" labelOnly="1" outline="0" axis="axisRow" fieldPosition="0"/>
    </format>
    <format dxfId="22">
      <pivotArea dataOnly="0" labelOnly="1" outline="0" fieldPosition="0">
        <references count="1">
          <reference field="12" count="0"/>
        </references>
      </pivotArea>
    </format>
    <format dxfId="21">
      <pivotArea dataOnly="0" labelOnly="1" grandRow="1" outline="0" fieldPosition="0"/>
    </format>
    <format dxfId="2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D373A4-9C1F-4868-89E1-B6BF6285880C}" name="PT_ExpenseByCategory"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2" firstHeaderRow="1" firstDataRow="1" firstDataCol="1"/>
  <pivotFields count="13">
    <pivotField compact="0" outline="0" showAll="0"/>
    <pivotField compact="0" numFmtId="164" outline="0" showAll="0"/>
    <pivotField compact="0" outline="0" showAll="0">
      <items count="7">
        <item x="4"/>
        <item x="3"/>
        <item x="0"/>
        <item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3"/>
  </rowFields>
  <rowItems count="9">
    <i>
      <x/>
    </i>
    <i>
      <x v="1"/>
    </i>
    <i>
      <x v="2"/>
    </i>
    <i>
      <x v="3"/>
    </i>
    <i>
      <x v="4"/>
    </i>
    <i>
      <x v="5"/>
    </i>
    <i>
      <x v="6"/>
    </i>
    <i>
      <x v="7"/>
    </i>
    <i t="grand">
      <x/>
    </i>
  </rowItems>
  <colItems count="1">
    <i/>
  </colItems>
  <dataFields count="1">
    <dataField name="Sum of Amount (INR)" fld="5" baseField="0" baseItem="0" numFmtId="165"/>
  </dataFields>
  <formats count="12">
    <format dxfId="43">
      <pivotArea type="all" dataOnly="0" outline="0" fieldPosition="0"/>
    </format>
    <format dxfId="42">
      <pivotArea outline="0" collapsedLevelsAreSubtotals="1" fieldPosition="0"/>
    </format>
    <format dxfId="41">
      <pivotArea field="3" type="button" dataOnly="0" labelOnly="1" outline="0" axis="axisRow" fieldPosition="0"/>
    </format>
    <format dxfId="40">
      <pivotArea dataOnly="0" labelOnly="1" outline="0" fieldPosition="0">
        <references count="1">
          <reference field="3" count="0"/>
        </references>
      </pivotArea>
    </format>
    <format dxfId="39">
      <pivotArea dataOnly="0" labelOnly="1" grandRow="1" outline="0" fieldPosition="0"/>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3" type="button" dataOnly="0" labelOnly="1" outline="0" axis="axisRow" fieldPosition="0"/>
    </format>
    <format dxfId="34">
      <pivotArea dataOnly="0" labelOnly="1" outline="0" fieldPosition="0">
        <references count="1">
          <reference field="3" count="0"/>
        </references>
      </pivotArea>
    </format>
    <format dxfId="33">
      <pivotArea dataOnly="0" labelOnly="1" grandRow="1" outline="0" fieldPosition="0"/>
    </format>
    <format dxfId="3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5B09DB-81A4-4413-BCED-4093C2644BF8}" name="PT_ApprovedStatu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x="4"/>
        <item x="3"/>
        <item x="0"/>
        <item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44">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5E42C34-7A26-48CD-92D7-8836D1199D2D}" name="PT_BudgetVsActual"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32" firstHeaderRow="0" firstDataRow="1" firstDataCol="1"/>
  <pivotFields count="13">
    <pivotField compact="0" outline="0" showAll="0"/>
    <pivotField compact="0" numFmtId="164" outline="0" showAll="0"/>
    <pivotField axis="axisRow" compact="0" outline="0" showAll="0">
      <items count="7">
        <item x="4"/>
        <item x="3"/>
        <item x="0"/>
        <item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56">
      <pivotArea type="all" dataOnly="0" outline="0" fieldPosition="0"/>
    </format>
    <format dxfId="55">
      <pivotArea outline="0" collapsedLevelsAreSubtotals="1" fieldPosition="0"/>
    </format>
    <format dxfId="54">
      <pivotArea field="2" type="button" dataOnly="0" labelOnly="1" outline="0" axis="axisRow" fieldPosition="0"/>
    </format>
    <format dxfId="53">
      <pivotArea dataOnly="0" labelOnly="1" outline="0" fieldPosition="0">
        <references count="1">
          <reference field="2" count="0"/>
        </references>
      </pivotArea>
    </format>
    <format dxfId="52">
      <pivotArea dataOnly="0" labelOnly="1" grandRow="1" outline="0" fieldPosition="0"/>
    </format>
    <format dxfId="51">
      <pivotArea dataOnly="0" labelOnly="1" outline="0" fieldPosition="0">
        <references count="1">
          <reference field="4294967294" count="2">
            <x v="0"/>
            <x v="1"/>
          </reference>
        </references>
      </pivotArea>
    </format>
    <format dxfId="50">
      <pivotArea type="all" dataOnly="0" outline="0" fieldPosition="0"/>
    </format>
    <format dxfId="49">
      <pivotArea outline="0" collapsedLevelsAreSubtotals="1" fieldPosition="0"/>
    </format>
    <format dxfId="48">
      <pivotArea field="2" type="button" dataOnly="0" labelOnly="1" outline="0" axis="axisRow" fieldPosition="0"/>
    </format>
    <format dxfId="47">
      <pivotArea dataOnly="0" labelOnly="1" outline="0" fieldPosition="0">
        <references count="1">
          <reference field="2" count="0"/>
        </references>
      </pivotArea>
    </format>
    <format dxfId="46">
      <pivotArea dataOnly="0" labelOnly="1" grandRow="1" outline="0" fieldPosition="0"/>
    </format>
    <format dxfId="4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528884-6AF1-44A1-AED1-FE199EDDDC8F}" name="PT_PaymentMetho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4"/>
        <item x="3"/>
        <item x="0"/>
        <item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x="0"/>
        <item x="1"/>
        <item x="2"/>
        <item x="3"/>
        <item x="4"/>
        <item x="5"/>
        <item x="6"/>
        <item x="7"/>
        <item x="8"/>
        <item x="9"/>
        <item x="10"/>
        <item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68">
      <pivotArea type="all" dataOnly="0" outline="0" fieldPosition="0"/>
    </format>
    <format dxfId="67">
      <pivotArea outline="0" collapsedLevelsAreSubtotals="1" fieldPosition="0"/>
    </format>
    <format dxfId="66">
      <pivotArea field="6" type="button" dataOnly="0" labelOnly="1" outline="0" axis="axisRow" fieldPosition="0"/>
    </format>
    <format dxfId="65">
      <pivotArea dataOnly="0" labelOnly="1" outline="0" fieldPosition="0">
        <references count="1">
          <reference field="6" count="0"/>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6" type="button" dataOnly="0" labelOnly="1" outline="0" axis="axisRow" fieldPosition="0"/>
    </format>
    <format dxfId="59">
      <pivotArea dataOnly="0" labelOnly="1" outline="0" fieldPosition="0">
        <references count="1">
          <reference field="6" count="0"/>
        </references>
      </pivotArea>
    </format>
    <format dxfId="58">
      <pivotArea dataOnly="0" labelOnly="1" grandRow="1" outline="0"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817D7A1-05F0-4D5E-AED7-34CE3F360A07}"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56838494">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E4A5A023-1BC2-45A0-8E36-FD8A5FE24C70}"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56838494">
      <items count="6">
        <i x="4" s="1"/>
        <i x="3" s="1"/>
        <i x="0"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AF6F5845-04B4-4C72-8B3E-2CDB645BEB60}" cache="Slicer_Month" caption="Month" columnCount="4" style="SlicerStyleLight6" rowHeight="247650"/>
  <slicer name="Department" xr10:uid="{ADC9A9A0-350F-4FA2-860B-FC0A504FC38F}" cache="Slicer_Department" caption="Department" columnCount="6" style="SlicerStyleLight6"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B32375-97F3-4693-9E96-F93788460091}" name="tblExpenses" displayName="tblExpenses" ref="A1:M416" totalsRowShown="0" headerRowDxfId="73">
  <autoFilter ref="A1:M416" xr:uid="{E7B32375-97F3-4693-9E96-F93788460091}"/>
  <tableColumns count="13">
    <tableColumn id="1" xr3:uid="{0D3A1991-43BB-456F-A43F-DD3365C24B03}" name="Expense ID"/>
    <tableColumn id="2" xr3:uid="{BCE41E75-7A7A-4348-876B-9C5D26905FA2}" name="Date" dataDxfId="72"/>
    <tableColumn id="3" xr3:uid="{AB589C8E-F990-4E47-9F2C-AD230AC5A1F9}" name="Department"/>
    <tableColumn id="4" xr3:uid="{75EE30EF-D2D5-481A-BE80-DEE8E3DEB893}" name="Category"/>
    <tableColumn id="5" xr3:uid="{369A2205-3A79-47AE-8F1F-136929A732C3}" name="Description"/>
    <tableColumn id="6" xr3:uid="{CDAE9BCF-9067-4C45-BB1B-2DF73C988F85}" name="Amount (INR)" dataDxfId="71"/>
    <tableColumn id="7" xr3:uid="{4B08C73A-DE69-4731-99D5-1A06A0D91A3C}" name="Payment Method"/>
    <tableColumn id="8" xr3:uid="{774E0663-1309-458D-9BFF-9584315CD691}" name="Approved"/>
    <tableColumn id="9" xr3:uid="{08950A20-1A2E-4CC9-8952-036FCFD35BA3}" name="Budget Allocated" dataDxfId="70"/>
    <tableColumn id="10" xr3:uid="{A1CA18F3-6AEF-4FF5-AA2F-B8CA156B474C}" name="Budget Remaining" dataDxfId="69"/>
    <tableColumn id="11" xr3:uid="{EAAFDEBA-0BD0-4116-A015-484A9EAEAB85}" name="Vendor Name"/>
    <tableColumn id="12" xr3:uid="{35D657BE-2683-4FC2-A53E-6D658122890B}" name="Invoice Number"/>
    <tableColumn id="13" xr3:uid="{D3BB38F9-9469-4683-9C13-B9224D952BB0}"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547F6-AF70-4AB8-8347-4433C9222A67}">
  <sheetPr>
    <pageSetUpPr fitToPage="1"/>
  </sheetPr>
  <dimension ref="A1:AF29"/>
  <sheetViews>
    <sheetView showGridLines="0" tabSelected="1" zoomScale="67" zoomScaleNormal="98" workbookViewId="0">
      <selection activeCell="P17" sqref="P17"/>
    </sheetView>
  </sheetViews>
  <sheetFormatPr defaultRowHeight="13.8" x14ac:dyDescent="0.3"/>
  <cols>
    <col min="1" max="30" width="8.109375" style="6" customWidth="1"/>
    <col min="31" max="31" width="8.88671875" style="6"/>
    <col min="32" max="33" width="0" style="6" hidden="1" customWidth="1"/>
    <col min="34" max="16384" width="8.88671875" style="6"/>
  </cols>
  <sheetData>
    <row r="1" spans="1:32" ht="22.05" customHeight="1" x14ac:dyDescent="0.3">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row>
    <row r="2" spans="1:32" ht="22.05" customHeight="1" x14ac:dyDescent="0.3">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F2" s="7">
        <f>IFERROR(GETPIVOTDATA("Sum of Amount (INR)",Pivot!$M$3),0)</f>
        <v>18405183</v>
      </c>
    </row>
    <row r="3" spans="1:32" ht="22.05" customHeight="1" x14ac:dyDescent="0.3">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F3" s="7">
        <f>IFERROR(GETPIVOTDATA("Sum of Budget Allocated",Pivot!$M$3),0)</f>
        <v>22953950</v>
      </c>
    </row>
    <row r="4" spans="1:32" ht="18" customHeight="1" x14ac:dyDescent="0.3">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F4" s="7">
        <f>IFERROR(GETPIVOTDATA("Sum of Budget Remaining",Pivot!$M$3),0)</f>
        <v>4548767</v>
      </c>
    </row>
    <row r="5" spans="1:32" ht="18" customHeight="1" x14ac:dyDescent="0.3">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F5" s="8">
        <f>IFERROR(GETPIVOTDATA("Count of Expense ID",Pivot!$M$3),0)</f>
        <v>415</v>
      </c>
    </row>
    <row r="6" spans="1:32" ht="18" customHeight="1" x14ac:dyDescent="0.3">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F6" s="9">
        <f>IFERROR(GETPIVOTDATA("Count of Expense ID",Pivot!$J$3,"Approved","Yes")/AF5,0)</f>
        <v>0.81445783132530125</v>
      </c>
    </row>
    <row r="7" spans="1:32" ht="18" customHeight="1" x14ac:dyDescent="0.3">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F7" s="7">
        <f>IFERROR(AF2/AF5,0)</f>
        <v>44349.838554216869</v>
      </c>
    </row>
    <row r="8" spans="1:32" ht="18" customHeight="1" x14ac:dyDescent="0.3">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row>
    <row r="9" spans="1:32" ht="18" customHeight="1" x14ac:dyDescent="0.3">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row>
    <row r="10" spans="1:32" ht="18" customHeight="1" x14ac:dyDescent="0.3">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row>
    <row r="11" spans="1:32" ht="18" customHeight="1" x14ac:dyDescent="0.3">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row>
    <row r="12" spans="1:32" ht="18" customHeight="1" x14ac:dyDescent="0.3">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row>
    <row r="13" spans="1:32" ht="18" customHeight="1" x14ac:dyDescent="0.3">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row>
    <row r="14" spans="1:32" ht="18" customHeight="1" x14ac:dyDescent="0.3">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row>
    <row r="15" spans="1:32" ht="18" customHeight="1" x14ac:dyDescent="0.3">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row>
    <row r="16" spans="1:32" ht="18" customHeight="1" x14ac:dyDescent="0.3">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row>
    <row r="17" spans="1:30" ht="18" customHeight="1" x14ac:dyDescent="0.3">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row>
    <row r="18" spans="1:30" ht="18" customHeight="1" x14ac:dyDescent="0.3">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row>
    <row r="19" spans="1:30" ht="18" customHeight="1" x14ac:dyDescent="0.3">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row>
    <row r="20" spans="1:30" ht="18" customHeight="1" x14ac:dyDescent="0.3">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row>
    <row r="21" spans="1:30" ht="18" customHeight="1" x14ac:dyDescent="0.3">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row>
    <row r="22" spans="1:30" ht="18" customHeight="1" x14ac:dyDescent="0.3">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row>
    <row r="23" spans="1:30" ht="18" customHeight="1" x14ac:dyDescent="0.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row>
    <row r="24" spans="1:30" ht="18" customHeight="1" x14ac:dyDescent="0.3">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row>
    <row r="25" spans="1:30" ht="18" customHeight="1" x14ac:dyDescent="0.3">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row>
    <row r="26" spans="1:30" ht="18" customHeight="1" x14ac:dyDescent="0.3">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row>
    <row r="27" spans="1:30" ht="18" customHeight="1" x14ac:dyDescent="0.3">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row>
    <row r="28" spans="1:30" ht="18" customHeight="1" x14ac:dyDescent="0.3">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row>
    <row r="29" spans="1:30" ht="18" customHeight="1" x14ac:dyDescent="0.3">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workbookViewId="0">
      <selection activeCell="A2" sqref="A2"/>
    </sheetView>
  </sheetViews>
  <sheetFormatPr defaultRowHeight="14.4" x14ac:dyDescent="0.3"/>
  <cols>
    <col min="1" max="1" width="12.21875" bestFit="1" customWidth="1"/>
    <col min="2" max="2" width="11.5546875" bestFit="1" customWidth="1"/>
    <col min="3" max="3" width="13.21875" bestFit="1" customWidth="1"/>
    <col min="4" max="4" width="13.109375" bestFit="1" customWidth="1"/>
    <col min="5" max="5" width="31.21875" bestFit="1" customWidth="1"/>
    <col min="6" max="6" width="14.33203125" bestFit="1" customWidth="1"/>
    <col min="7" max="7" width="17.21875" bestFit="1" customWidth="1"/>
    <col min="8" max="8" width="11.21875" bestFit="1" customWidth="1"/>
    <col min="9" max="9" width="17.44140625" bestFit="1" customWidth="1"/>
    <col min="10" max="10" width="18.21875" bestFit="1" customWidth="1"/>
    <col min="11" max="11" width="17.5546875" bestFit="1" customWidth="1"/>
    <col min="12" max="12" width="16.44140625" bestFit="1" customWidth="1"/>
    <col min="13" max="13" width="8.33203125" bestFit="1" customWidth="1"/>
  </cols>
  <sheetData>
    <row r="1" spans="1:13" s="3" customFormat="1" x14ac:dyDescent="0.3">
      <c r="A1" s="3" t="s">
        <v>0</v>
      </c>
      <c r="B1" s="3" t="s">
        <v>1</v>
      </c>
      <c r="C1" s="3" t="s">
        <v>2</v>
      </c>
      <c r="D1" s="3" t="s">
        <v>3</v>
      </c>
      <c r="E1" s="3" t="s">
        <v>4</v>
      </c>
      <c r="F1" s="3" t="s">
        <v>5</v>
      </c>
      <c r="G1" s="3" t="s">
        <v>6</v>
      </c>
      <c r="H1" s="3" t="s">
        <v>7</v>
      </c>
      <c r="I1" s="3" t="s">
        <v>8</v>
      </c>
      <c r="J1" s="3" t="s">
        <v>9</v>
      </c>
      <c r="K1" s="3" t="s">
        <v>10</v>
      </c>
      <c r="L1" s="3" t="s">
        <v>11</v>
      </c>
      <c r="M1" s="3" t="s">
        <v>918</v>
      </c>
    </row>
    <row r="2" spans="1:13" x14ac:dyDescent="0.3">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3">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3">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3">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3">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3">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3">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3">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3">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3">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3">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3">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3">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3">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3">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3">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3">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3">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3">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3">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3">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3">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3">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3">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3">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3">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3">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3">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3">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3">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3">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3">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3">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3">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3">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3">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3">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3">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3">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3">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3">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3">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3">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3">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3">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3">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3">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3">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3">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3">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3">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3">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3">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3">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3">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3">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3">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3">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3">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3">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3">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3">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3">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3">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3">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3">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3">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3">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3">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3">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3">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3">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3">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3">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3">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3">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3">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3">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3">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3">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3">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3">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3">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3">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3">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3">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3">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3">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3">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3">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3">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3">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3">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3">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3">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3">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3">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3">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3">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3">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3">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3">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3">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3">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3">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3">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3">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3">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3">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3">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3">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3">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3">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3">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3">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3">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3">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3">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3">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3">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3">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3">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3">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3">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3">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3">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3">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3">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3">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3">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3">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3">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3">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3">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3">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3">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3">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3">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3">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3">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3">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3">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3">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3">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3">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3">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3">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3">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3">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3">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3">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3">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3">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3">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3">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3">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3">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3">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3">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3">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3">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3">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3">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3">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3">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3">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3">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3">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3">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3">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3">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3">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3">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3">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3">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3">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3">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3">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3">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3">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3">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3">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3">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3">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3">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3">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3">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3">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3">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3">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3">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3">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3">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3">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3">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3">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3">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3">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3">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3">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3">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3">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3">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3">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3">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3">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3">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3">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3">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3">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3">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3">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3">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3">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3">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3">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3">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3">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3">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3">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3">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3">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3">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3">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3">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3">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3">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3">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3">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3">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3">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3">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3">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3">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3">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3">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3">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3">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3">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3">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3">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3">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3">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3">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3">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3">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3">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3">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3">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3">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3">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3">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3">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3">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3">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3">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3">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3">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3">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3">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3">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3">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3">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3">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3">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3">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3">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3">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3">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3">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3">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3">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3">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3">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3">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3">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3">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3">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3">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3">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3">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3">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3">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3">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3">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3">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3">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3">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3">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3">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3">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3">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3">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3">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3">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3">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3">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3">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3">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3">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3">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3">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3">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3">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3">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3">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3">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3">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3">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3">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3">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3">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3">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3">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3">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3">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3">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3">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3">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3">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3">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3">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3">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3">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3">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3">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3">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3">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3">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3">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3">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3">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3">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3">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3">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3">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3">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3">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3">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3">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3">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3">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3">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3">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3">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3">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3">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3">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3">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3">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3">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3">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3">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3">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3">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3">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3">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3">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3">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3">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3">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3">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3">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3">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3">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3">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3">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3">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3">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3">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3">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3">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3">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3">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3">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3">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3">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3">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3">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3">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3">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3">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3">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3">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3">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3">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3">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3">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3">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3">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3">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3">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3">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3">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3">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3">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3">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3">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3">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3">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3">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3">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3">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3">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3">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3">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3">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3">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3">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3">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3">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3">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3">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3">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3">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8B28C-5D15-4178-9EE2-F24B9C0EDE84}">
  <dimension ref="A3:P62"/>
  <sheetViews>
    <sheetView workbookViewId="0"/>
  </sheetViews>
  <sheetFormatPr defaultRowHeight="14.4" x14ac:dyDescent="0.3"/>
  <cols>
    <col min="1" max="1" width="17.6640625" bestFit="1" customWidth="1"/>
    <col min="2" max="2" width="19" bestFit="1" customWidth="1"/>
    <col min="4" max="4" width="13.44140625" bestFit="1" customWidth="1"/>
    <col min="5" max="5" width="11.88671875" bestFit="1" customWidth="1"/>
    <col min="6" max="6" width="22.33203125" bestFit="1" customWidth="1"/>
    <col min="7" max="7" width="10.88671875" bestFit="1" customWidth="1"/>
    <col min="8" max="8" width="19" bestFit="1" customWidth="1"/>
    <col min="10" max="10" width="11.21875" bestFit="1" customWidth="1"/>
    <col min="11" max="11" width="18.33203125" bestFit="1" customWidth="1"/>
    <col min="12" max="12" width="17.33203125" bestFit="1" customWidth="1"/>
    <col min="13" max="13" width="19" bestFit="1" customWidth="1"/>
    <col min="14" max="14" width="22.33203125" bestFit="1" customWidth="1"/>
    <col min="15" max="15" width="23.33203125" bestFit="1" customWidth="1"/>
    <col min="16" max="16" width="18.44140625" bestFit="1" customWidth="1"/>
  </cols>
  <sheetData>
    <row r="3" spans="1:16" x14ac:dyDescent="0.3">
      <c r="A3" s="11" t="s">
        <v>2</v>
      </c>
      <c r="B3" s="12" t="s">
        <v>920</v>
      </c>
      <c r="D3" s="11" t="s">
        <v>3</v>
      </c>
      <c r="E3" s="12" t="s">
        <v>920</v>
      </c>
      <c r="G3" s="11" t="s">
        <v>918</v>
      </c>
      <c r="H3" s="12" t="s">
        <v>920</v>
      </c>
      <c r="J3" s="4" t="s">
        <v>7</v>
      </c>
      <c r="K3" t="s">
        <v>920</v>
      </c>
      <c r="L3" t="s">
        <v>922</v>
      </c>
      <c r="M3" s="12" t="s">
        <v>920</v>
      </c>
      <c r="N3" s="12" t="s">
        <v>923</v>
      </c>
      <c r="O3" s="12" t="s">
        <v>924</v>
      </c>
      <c r="P3" s="12" t="s">
        <v>922</v>
      </c>
    </row>
    <row r="4" spans="1:16" x14ac:dyDescent="0.3">
      <c r="A4" s="12" t="s">
        <v>92</v>
      </c>
      <c r="B4" s="13">
        <v>2611075</v>
      </c>
      <c r="D4" s="12" t="s">
        <v>31</v>
      </c>
      <c r="E4" s="13">
        <v>6030171</v>
      </c>
      <c r="G4" s="12" t="s">
        <v>921</v>
      </c>
      <c r="H4" s="13">
        <v>1379978</v>
      </c>
      <c r="J4" t="s">
        <v>43</v>
      </c>
      <c r="K4" s="2">
        <v>3628179</v>
      </c>
      <c r="L4" s="5">
        <v>77</v>
      </c>
      <c r="M4" s="13">
        <v>18405183</v>
      </c>
      <c r="N4" s="13">
        <v>22953950</v>
      </c>
      <c r="O4" s="13">
        <v>4548767</v>
      </c>
      <c r="P4" s="14">
        <v>415</v>
      </c>
    </row>
    <row r="5" spans="1:16" x14ac:dyDescent="0.3">
      <c r="A5" s="12" t="s">
        <v>72</v>
      </c>
      <c r="B5" s="13">
        <v>3616924</v>
      </c>
      <c r="D5" s="12" t="s">
        <v>36</v>
      </c>
      <c r="E5" s="13">
        <v>3671418</v>
      </c>
      <c r="G5" s="12" t="s">
        <v>927</v>
      </c>
      <c r="H5" s="13">
        <v>1058599</v>
      </c>
      <c r="J5" t="s">
        <v>17</v>
      </c>
      <c r="K5" s="2">
        <v>14777004</v>
      </c>
      <c r="L5" s="5">
        <v>338</v>
      </c>
    </row>
    <row r="6" spans="1:16" x14ac:dyDescent="0.3">
      <c r="A6" s="12" t="s">
        <v>13</v>
      </c>
      <c r="B6" s="13">
        <v>3366315</v>
      </c>
      <c r="D6" s="12" t="s">
        <v>21</v>
      </c>
      <c r="E6" s="13">
        <v>3505155</v>
      </c>
      <c r="G6" s="12" t="s">
        <v>928</v>
      </c>
      <c r="H6" s="13">
        <v>1179601</v>
      </c>
      <c r="J6" t="s">
        <v>919</v>
      </c>
      <c r="K6" s="2">
        <v>18405183</v>
      </c>
      <c r="L6">
        <v>415</v>
      </c>
    </row>
    <row r="7" spans="1:16" x14ac:dyDescent="0.3">
      <c r="A7" s="12" t="s">
        <v>21</v>
      </c>
      <c r="B7" s="13">
        <v>3010276</v>
      </c>
      <c r="D7" s="12" t="s">
        <v>26</v>
      </c>
      <c r="E7" s="13">
        <v>208093</v>
      </c>
      <c r="G7" s="12" t="s">
        <v>929</v>
      </c>
      <c r="H7" s="13">
        <v>1317668</v>
      </c>
    </row>
    <row r="8" spans="1:16" x14ac:dyDescent="0.3">
      <c r="A8" s="12" t="s">
        <v>114</v>
      </c>
      <c r="B8" s="13">
        <v>3346621</v>
      </c>
      <c r="D8" s="12" t="s">
        <v>14</v>
      </c>
      <c r="E8" s="13">
        <v>1743238</v>
      </c>
      <c r="G8" s="12" t="s">
        <v>931</v>
      </c>
      <c r="H8" s="13">
        <v>1780658</v>
      </c>
    </row>
    <row r="9" spans="1:16" x14ac:dyDescent="0.3">
      <c r="A9" s="12" t="s">
        <v>46</v>
      </c>
      <c r="B9" s="13">
        <v>2453972</v>
      </c>
      <c r="D9" s="12" t="s">
        <v>132</v>
      </c>
      <c r="E9" s="13">
        <v>772840</v>
      </c>
      <c r="G9" s="12" t="s">
        <v>932</v>
      </c>
      <c r="H9" s="13">
        <v>1286080</v>
      </c>
    </row>
    <row r="10" spans="1:16" x14ac:dyDescent="0.3">
      <c r="A10" s="12" t="s">
        <v>919</v>
      </c>
      <c r="B10" s="13">
        <v>18405183</v>
      </c>
      <c r="D10" s="12" t="s">
        <v>58</v>
      </c>
      <c r="E10" s="13">
        <v>2023948</v>
      </c>
      <c r="G10" s="12" t="s">
        <v>933</v>
      </c>
      <c r="H10" s="13">
        <v>2119404</v>
      </c>
    </row>
    <row r="11" spans="1:16" x14ac:dyDescent="0.3">
      <c r="D11" s="12" t="s">
        <v>54</v>
      </c>
      <c r="E11" s="13">
        <v>450320</v>
      </c>
      <c r="G11" s="12" t="s">
        <v>934</v>
      </c>
      <c r="H11" s="13">
        <v>1669539</v>
      </c>
    </row>
    <row r="12" spans="1:16" x14ac:dyDescent="0.3">
      <c r="D12" s="12" t="s">
        <v>919</v>
      </c>
      <c r="E12" s="13">
        <v>18405183</v>
      </c>
      <c r="G12" s="12" t="s">
        <v>935</v>
      </c>
      <c r="H12" s="13">
        <v>1913484</v>
      </c>
    </row>
    <row r="13" spans="1:16" x14ac:dyDescent="0.3">
      <c r="G13" s="12" t="s">
        <v>930</v>
      </c>
      <c r="H13" s="13">
        <v>1365637</v>
      </c>
    </row>
    <row r="14" spans="1:16" x14ac:dyDescent="0.3">
      <c r="G14" s="12" t="s">
        <v>936</v>
      </c>
      <c r="H14" s="13">
        <v>1795988</v>
      </c>
    </row>
    <row r="15" spans="1:16" x14ac:dyDescent="0.3">
      <c r="G15" s="12" t="s">
        <v>937</v>
      </c>
      <c r="H15" s="13">
        <v>1538547</v>
      </c>
    </row>
    <row r="16" spans="1:16" x14ac:dyDescent="0.3">
      <c r="G16" s="12" t="s">
        <v>919</v>
      </c>
      <c r="H16" s="13">
        <v>18405183</v>
      </c>
    </row>
    <row r="25" spans="1:6" x14ac:dyDescent="0.3">
      <c r="A25" s="11" t="s">
        <v>6</v>
      </c>
      <c r="B25" s="12" t="s">
        <v>920</v>
      </c>
      <c r="D25" s="11" t="s">
        <v>2</v>
      </c>
      <c r="E25" s="12" t="s">
        <v>925</v>
      </c>
      <c r="F25" s="12" t="s">
        <v>923</v>
      </c>
    </row>
    <row r="26" spans="1:6" x14ac:dyDescent="0.3">
      <c r="A26" s="12" t="s">
        <v>51</v>
      </c>
      <c r="B26" s="13">
        <v>4908988</v>
      </c>
      <c r="D26" s="12" t="s">
        <v>92</v>
      </c>
      <c r="E26" s="13">
        <v>2611075</v>
      </c>
      <c r="F26" s="13">
        <v>3159110</v>
      </c>
    </row>
    <row r="27" spans="1:6" x14ac:dyDescent="0.3">
      <c r="A27" s="12" t="s">
        <v>16</v>
      </c>
      <c r="B27" s="13">
        <v>4388835</v>
      </c>
      <c r="D27" s="12" t="s">
        <v>72</v>
      </c>
      <c r="E27" s="13">
        <v>3616924</v>
      </c>
      <c r="F27" s="13">
        <v>4425089</v>
      </c>
    </row>
    <row r="28" spans="1:6" x14ac:dyDescent="0.3">
      <c r="A28" s="12" t="s">
        <v>38</v>
      </c>
      <c r="B28" s="13">
        <v>5477461</v>
      </c>
      <c r="D28" s="12" t="s">
        <v>13</v>
      </c>
      <c r="E28" s="13">
        <v>3366315</v>
      </c>
      <c r="F28" s="13">
        <v>4162201</v>
      </c>
    </row>
    <row r="29" spans="1:6" x14ac:dyDescent="0.3">
      <c r="A29" s="12" t="s">
        <v>23</v>
      </c>
      <c r="B29" s="13">
        <v>3629899</v>
      </c>
      <c r="D29" s="12" t="s">
        <v>21</v>
      </c>
      <c r="E29" s="13">
        <v>3010276</v>
      </c>
      <c r="F29" s="13">
        <v>3898633</v>
      </c>
    </row>
    <row r="30" spans="1:6" x14ac:dyDescent="0.3">
      <c r="A30" s="12" t="s">
        <v>919</v>
      </c>
      <c r="B30" s="13">
        <v>18405183</v>
      </c>
      <c r="D30" s="12" t="s">
        <v>114</v>
      </c>
      <c r="E30" s="13">
        <v>3346621</v>
      </c>
      <c r="F30" s="13">
        <v>4160632</v>
      </c>
    </row>
    <row r="31" spans="1:6" x14ac:dyDescent="0.3">
      <c r="D31" s="12" t="s">
        <v>46</v>
      </c>
      <c r="E31" s="13">
        <v>2453972</v>
      </c>
      <c r="F31" s="13">
        <v>3148285</v>
      </c>
    </row>
    <row r="32" spans="1:6" x14ac:dyDescent="0.3">
      <c r="D32" s="12" t="s">
        <v>919</v>
      </c>
      <c r="E32" s="13">
        <v>18405183</v>
      </c>
      <c r="F32" s="13">
        <v>22953950</v>
      </c>
    </row>
    <row r="50" spans="1:15" x14ac:dyDescent="0.3">
      <c r="A50" t="s">
        <v>2</v>
      </c>
      <c r="B50" t="s">
        <v>926</v>
      </c>
      <c r="D50" t="s">
        <v>3</v>
      </c>
      <c r="E50" t="s">
        <v>926</v>
      </c>
      <c r="G50" t="s">
        <v>918</v>
      </c>
      <c r="H50" t="s">
        <v>926</v>
      </c>
      <c r="J50" t="s">
        <v>6</v>
      </c>
      <c r="K50" t="s">
        <v>926</v>
      </c>
      <c r="M50" t="s">
        <v>2</v>
      </c>
      <c r="N50" t="s">
        <v>925</v>
      </c>
      <c r="O50" t="s">
        <v>8</v>
      </c>
    </row>
    <row r="51" spans="1:15" x14ac:dyDescent="0.3">
      <c r="A51" t="str">
        <f>Pivot!$A$4</f>
        <v>Finance</v>
      </c>
      <c r="B51" s="2">
        <f>Pivot!$B$4</f>
        <v>2611075</v>
      </c>
      <c r="D51" t="str">
        <f>Pivot!$D$4</f>
        <v>Consulting</v>
      </c>
      <c r="E51" s="2">
        <f>Pivot!$E$4</f>
        <v>6030171</v>
      </c>
      <c r="G51" t="str">
        <f>Pivot!$G$4</f>
        <v>Jan</v>
      </c>
      <c r="H51" s="2">
        <f>Pivot!$H$4</f>
        <v>1379978</v>
      </c>
      <c r="J51" t="str">
        <f>Pivot!$A$26</f>
        <v>Bank Transfer</v>
      </c>
      <c r="K51" s="2">
        <f>Pivot!$B$26</f>
        <v>4908988</v>
      </c>
      <c r="M51" t="str">
        <f>Pivot!$D$26</f>
        <v>Finance</v>
      </c>
      <c r="N51" s="2">
        <f>Pivot!$E$26</f>
        <v>2611075</v>
      </c>
      <c r="O51" s="2">
        <f>Pivot!$F$26</f>
        <v>3159110</v>
      </c>
    </row>
    <row r="52" spans="1:15" x14ac:dyDescent="0.3">
      <c r="A52" t="str">
        <f>Pivot!$A$5</f>
        <v>HR</v>
      </c>
      <c r="B52" s="2">
        <f>Pivot!$B$5</f>
        <v>3616924</v>
      </c>
      <c r="D52" t="str">
        <f>Pivot!$D$5</f>
        <v>Equipment</v>
      </c>
      <c r="E52" s="2">
        <f>Pivot!$E$5</f>
        <v>3671418</v>
      </c>
      <c r="G52" t="str">
        <f>Pivot!$G$5</f>
        <v>Feb</v>
      </c>
      <c r="H52" s="2">
        <f>Pivot!$H$5</f>
        <v>1058599</v>
      </c>
      <c r="J52" t="str">
        <f>Pivot!$A$27</f>
        <v>Cash</v>
      </c>
      <c r="K52" s="2">
        <f>Pivot!$B$27</f>
        <v>4388835</v>
      </c>
      <c r="M52" t="str">
        <f>Pivot!$D$27</f>
        <v>HR</v>
      </c>
      <c r="N52" s="2">
        <f>Pivot!$E$27</f>
        <v>3616924</v>
      </c>
      <c r="O52" s="2">
        <f>Pivot!$F$27</f>
        <v>4425089</v>
      </c>
    </row>
    <row r="53" spans="1:15" x14ac:dyDescent="0.3">
      <c r="A53" t="str">
        <f>Pivot!$A$6</f>
        <v>Engineering</v>
      </c>
      <c r="B53" s="2">
        <f>Pivot!$B$6</f>
        <v>3366315</v>
      </c>
      <c r="D53" t="str">
        <f>Pivot!$D$6</f>
        <v>Marketing</v>
      </c>
      <c r="E53" s="2">
        <f>Pivot!$E$6</f>
        <v>3505155</v>
      </c>
      <c r="G53" t="str">
        <f>Pivot!$G$6</f>
        <v>Mar</v>
      </c>
      <c r="H53" s="2">
        <f>Pivot!$H$6</f>
        <v>1179601</v>
      </c>
      <c r="J53" t="str">
        <f>Pivot!$A$28</f>
        <v>Cheque</v>
      </c>
      <c r="K53" s="2">
        <f>Pivot!$B$28</f>
        <v>5477461</v>
      </c>
      <c r="M53" t="str">
        <f>Pivot!$D$28</f>
        <v>Engineering</v>
      </c>
      <c r="N53" s="2">
        <f>Pivot!$E$28</f>
        <v>3366315</v>
      </c>
      <c r="O53" s="2">
        <f>Pivot!$F$28</f>
        <v>4162201</v>
      </c>
    </row>
    <row r="54" spans="1:15" x14ac:dyDescent="0.3">
      <c r="A54" t="str">
        <f>Pivot!$A$7</f>
        <v>Marketing</v>
      </c>
      <c r="B54" s="2">
        <f>Pivot!$B$7</f>
        <v>3010276</v>
      </c>
      <c r="D54" t="str">
        <f>Pivot!$D$7</f>
        <v>Office Supplies</v>
      </c>
      <c r="E54" s="2">
        <f>Pivot!$E$7</f>
        <v>208093</v>
      </c>
      <c r="G54" t="str">
        <f>Pivot!$G$7</f>
        <v>Apr</v>
      </c>
      <c r="H54" s="2">
        <f>Pivot!$H$7</f>
        <v>1317668</v>
      </c>
      <c r="J54" t="str">
        <f>Pivot!$A$29</f>
        <v>Credit Card</v>
      </c>
      <c r="K54" s="2">
        <f>Pivot!$B$29</f>
        <v>3629899</v>
      </c>
      <c r="M54" t="str">
        <f>Pivot!$D$29</f>
        <v>Marketing</v>
      </c>
      <c r="N54" s="2">
        <f>Pivot!$E$29</f>
        <v>3010276</v>
      </c>
      <c r="O54" s="2">
        <f>Pivot!$F$29</f>
        <v>3898633</v>
      </c>
    </row>
    <row r="55" spans="1:15" x14ac:dyDescent="0.3">
      <c r="A55" t="str">
        <f>Pivot!$A$8</f>
        <v>Operations</v>
      </c>
      <c r="B55" s="2">
        <f>Pivot!$B$8</f>
        <v>3346621</v>
      </c>
      <c r="D55" t="str">
        <f>Pivot!$D$8</f>
        <v>Software</v>
      </c>
      <c r="E55" s="2">
        <f>Pivot!$E$8</f>
        <v>1743238</v>
      </c>
      <c r="G55" t="str">
        <f>Pivot!$G$8</f>
        <v>May</v>
      </c>
      <c r="H55" s="2">
        <f>Pivot!$H$8</f>
        <v>1780658</v>
      </c>
      <c r="M55" t="str">
        <f>Pivot!$D$30</f>
        <v>Operations</v>
      </c>
      <c r="N55" s="2">
        <f>Pivot!$E$30</f>
        <v>3346621</v>
      </c>
      <c r="O55" s="2">
        <f>Pivot!$F$30</f>
        <v>4160632</v>
      </c>
    </row>
    <row r="56" spans="1:15" x14ac:dyDescent="0.3">
      <c r="A56" t="str">
        <f>Pivot!$A$9</f>
        <v>Sales</v>
      </c>
      <c r="B56" s="2">
        <f>Pivot!$B$9</f>
        <v>2453972</v>
      </c>
      <c r="D56" t="str">
        <f>Pivot!$D$9</f>
        <v>Training</v>
      </c>
      <c r="E56" s="2">
        <f>Pivot!$E$9</f>
        <v>772840</v>
      </c>
      <c r="G56" t="str">
        <f>Pivot!$G$9</f>
        <v>Jun</v>
      </c>
      <c r="H56" s="2">
        <f>Pivot!$H$9</f>
        <v>1286080</v>
      </c>
      <c r="M56" t="str">
        <f>Pivot!$D$31</f>
        <v>Sales</v>
      </c>
      <c r="N56" s="2">
        <f>Pivot!$E$31</f>
        <v>2453972</v>
      </c>
      <c r="O56" s="2">
        <f>Pivot!$F$31</f>
        <v>3148285</v>
      </c>
    </row>
    <row r="57" spans="1:15" x14ac:dyDescent="0.3">
      <c r="D57" t="str">
        <f>Pivot!$D$10</f>
        <v>Travel</v>
      </c>
      <c r="E57" s="2">
        <f>Pivot!$E$10</f>
        <v>2023948</v>
      </c>
      <c r="G57" t="str">
        <f>Pivot!$G$10</f>
        <v>Jul</v>
      </c>
      <c r="H57" s="2">
        <f>Pivot!$H$10</f>
        <v>2119404</v>
      </c>
    </row>
    <row r="58" spans="1:15" x14ac:dyDescent="0.3">
      <c r="D58" t="str">
        <f>Pivot!$D$11</f>
        <v>Utilities</v>
      </c>
      <c r="E58" s="2">
        <f>Pivot!$E$11</f>
        <v>450320</v>
      </c>
      <c r="G58" t="str">
        <f>Pivot!$G$11</f>
        <v>Aug</v>
      </c>
      <c r="H58" s="2">
        <f>Pivot!$H$11</f>
        <v>1669539</v>
      </c>
    </row>
    <row r="59" spans="1:15" x14ac:dyDescent="0.3">
      <c r="G59" t="str">
        <f>Pivot!$G$12</f>
        <v>Sep</v>
      </c>
      <c r="H59" s="2">
        <f>Pivot!$H$12</f>
        <v>1913484</v>
      </c>
    </row>
    <row r="60" spans="1:15" x14ac:dyDescent="0.3">
      <c r="G60" t="str">
        <f>Pivot!$G$13</f>
        <v>Oct</v>
      </c>
      <c r="H60" s="2">
        <f>Pivot!$H$13</f>
        <v>1365637</v>
      </c>
    </row>
    <row r="61" spans="1:15" x14ac:dyDescent="0.3">
      <c r="G61" t="str">
        <f>Pivot!$G$14</f>
        <v>Nov</v>
      </c>
      <c r="H61" s="2">
        <f>Pivot!$H$14</f>
        <v>1795988</v>
      </c>
    </row>
    <row r="62" spans="1:15" x14ac:dyDescent="0.3">
      <c r="G62" t="str">
        <f>Pivot!$G$15</f>
        <v>Dec</v>
      </c>
      <c r="H62" s="2">
        <f>Pivot!$H$15</f>
        <v>1538547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VEMIREDDY SIVAPRASAD REDDY</cp:lastModifiedBy>
  <dcterms:created xsi:type="dcterms:W3CDTF">2026-05-19T08:07:04Z</dcterms:created>
  <dcterms:modified xsi:type="dcterms:W3CDTF">2026-07-19T10:11:04Z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